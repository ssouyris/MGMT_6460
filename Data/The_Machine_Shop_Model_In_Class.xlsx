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s/Dropbox/Claude/Projects/Courses/MGMT_6460/MGMT_6460_2026_Fall/Integer_Programming/"/>
    </mc:Choice>
  </mc:AlternateContent>
  <xr:revisionPtr revIDLastSave="0" documentId="13_ncr:1_{CFBC077B-006E-C749-A779-9BCF6A5791F2}" xr6:coauthVersionLast="47" xr6:coauthVersionMax="47" xr10:uidLastSave="{00000000-0000-0000-0000-000000000000}"/>
  <bookViews>
    <workbookView xWindow="0" yWindow="600" windowWidth="25600" windowHeight="14340" xr2:uid="{952C4ED0-FC4E-824B-8C48-E9338DED7D91}"/>
  </bookViews>
  <sheets>
    <sheet name="Model" sheetId="1" r:id="rId1"/>
    <sheet name="Answer Report Integer" sheetId="5" r:id="rId2"/>
    <sheet name="Answer Report LR" sheetId="2" r:id="rId3"/>
    <sheet name="Sensitivity Report LR" sheetId="3" r:id="rId4"/>
    <sheet name="Limits Report LR" sheetId="4" r:id="rId5"/>
  </sheets>
  <definedNames>
    <definedName name="solver_adj" localSheetId="0" hidden="1">Model!$D$2:$E$2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Model!$D$2:$E$2</definedName>
    <definedName name="solver_lhs2" localSheetId="0" hidden="1">Model!$F$5:$F$6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opt" localSheetId="0" hidden="1">Model!$F$3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1</definedName>
    <definedName name="solver_rhs1" localSheetId="0" hidden="1">"integer"</definedName>
    <definedName name="solver_rhs2" localSheetId="0" hidden="1">Model!$H$5:$H$6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" i="1" l="1"/>
  <c r="F5" i="1"/>
  <c r="F3" i="1"/>
</calcChain>
</file>

<file path=xl/sharedStrings.xml><?xml version="1.0" encoding="utf-8"?>
<sst xmlns="http://schemas.openxmlformats.org/spreadsheetml/2006/main" count="163" uniqueCount="70">
  <si>
    <t xml:space="preserve">Descision Variables </t>
  </si>
  <si>
    <t>x1</t>
  </si>
  <si>
    <t>x2</t>
  </si>
  <si>
    <t>OF coef</t>
  </si>
  <si>
    <t>Const Coef</t>
  </si>
  <si>
    <t>budget</t>
  </si>
  <si>
    <t>floor space</t>
  </si>
  <si>
    <t>&lt;=</t>
  </si>
  <si>
    <t>Z</t>
  </si>
  <si>
    <t>Microsoft Excel 16.112 Answer Report</t>
  </si>
  <si>
    <t>Worksheet: [Book4]Sheet1</t>
  </si>
  <si>
    <t>Report Created: 9/8/26 10:49:03 AM</t>
  </si>
  <si>
    <t>Result: Solver found a solution.  All constraints and optimality conditions are satisfied.</t>
  </si>
  <si>
    <t>Solver Engine</t>
  </si>
  <si>
    <t>Engine: Simplex LP</t>
  </si>
  <si>
    <t>Solution Time: 27.91 Seconds.</t>
  </si>
  <si>
    <t>Iterations: 2 Subproblems: 0</t>
  </si>
  <si>
    <t>Solver Options</t>
  </si>
  <si>
    <t>Max Time Unlimited, Iterations Unlimited, Precision 1E-06, Use Automatic Scaling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</si>
  <si>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</si>
  <si>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</si>
  <si>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</si>
  <si>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</si>
  <si>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</si>
  <si>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</si>
  <si>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</si>
  <si>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</si>
  <si>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</si>
  <si>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</si>
  <si>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</si>
  <si>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</si>
  <si>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</si>
  <si>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$F$3</t>
  </si>
  <si>
    <t>OF coef Z</t>
  </si>
  <si>
    <t>$D$2</t>
  </si>
  <si>
    <t>Contin</t>
  </si>
  <si>
    <t>$E$2</t>
  </si>
  <si>
    <t>$F$5</t>
  </si>
  <si>
    <t>budget Z</t>
  </si>
  <si>
    <t>$F$5&lt;=$H$5</t>
  </si>
  <si>
    <t>Binding</t>
  </si>
  <si>
    <t>$F$6</t>
  </si>
  <si>
    <t>floor space Z</t>
  </si>
  <si>
    <t>$F$6&lt;=$H$6</t>
  </si>
  <si>
    <t>Microsoft Excel 16.112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</si>
  <si>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</si>
  <si>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</si>
  <si>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</si>
  <si>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</si>
  <si>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</si>
  <si>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</si>
  <si>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</si>
  <si>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</si>
  <si>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</si>
  <si>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</si>
  <si>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</si>
  <si>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</si>
  <si>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</si>
  <si>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Microsoft Excel 16.112 Limits Report</t>
  </si>
  <si>
    <t>Variable</t>
  </si>
  <si>
    <t>Lower</t>
  </si>
  <si>
    <t>Limit</t>
  </si>
  <si>
    <t>Result</t>
  </si>
  <si>
    <t>Upper</t>
  </si>
  <si>
    <t>Report Created: 9/8/26 10:49:32 AM</t>
  </si>
  <si>
    <t>Solution Time: 34.315 Seconds.</t>
  </si>
  <si>
    <t>Iterations: 2 Subproblems: 8</t>
  </si>
  <si>
    <t>Max Time Unlimited, Iterations Unlimited, Precision 0.000001, Use Automatic Scaling</t>
  </si>
  <si>
    <t>Not Binding</t>
  </si>
  <si>
    <t>$D$2:$E$2=Integer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</si>
</sst>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indexed="1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4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318684</xdr:colOff>
      <xdr:row>7</xdr:row>
      <xdr:rowOff>97292</xdr:rowOff>
    </xdr:from>
    <xdr:to>
      <xdr:col>7</xdr:col>
      <xdr:colOff>279903</xdr:colOff>
      <xdr:row>16</xdr:row>
      <xdr:rowOff>122493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C8283F-E5DD-F4A0-4FEE-D4952BB7A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684" y="1515541"/>
          <a:ext cx="5737989" cy="1848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0CD6B-A7B6-5F47-A77F-3B7D7847F4A6}">
  <dimension ref="B1:H6"/>
  <sheetViews>
    <sheetView tabSelected="1" zoomScale="170" workbookViewId="0">
      <selection activeCell="D18" sqref="D18"/>
    </sheetView>
  </sheetViews>
  <sheetFormatPr baseColWidth="10" defaultRowHeight="16" x14ac:dyDescent="0.2"/>
  <sheetData>
    <row r="1" spans="2:8" x14ac:dyDescent="0.2">
      <c r="B1" t="s">
        <v>0</v>
      </c>
      <c r="D1" t="s">
        <v>1</v>
      </c>
      <c r="E1" t="s">
        <v>2</v>
      </c>
    </row>
    <row r="2" spans="2:8" x14ac:dyDescent="0.2">
      <c r="D2" s="2">
        <v>1</v>
      </c>
      <c r="E2" s="2">
        <v>6</v>
      </c>
      <c r="F2" t="s">
        <v>8</v>
      </c>
    </row>
    <row r="3" spans="2:8" x14ac:dyDescent="0.2">
      <c r="B3" t="s">
        <v>3</v>
      </c>
      <c r="D3">
        <v>100</v>
      </c>
      <c r="E3">
        <v>150</v>
      </c>
      <c r="F3" s="1">
        <f>SUMPRODUCT(D3:E3,$D$2:$E$2)</f>
        <v>1000</v>
      </c>
    </row>
    <row r="5" spans="2:8" x14ac:dyDescent="0.2">
      <c r="B5" t="s">
        <v>4</v>
      </c>
      <c r="C5" t="s">
        <v>5</v>
      </c>
      <c r="D5">
        <v>8000</v>
      </c>
      <c r="E5">
        <v>4000</v>
      </c>
      <c r="F5" s="1">
        <f>SUMPRODUCT(D5:E5,$D$2:$E$2)</f>
        <v>32000</v>
      </c>
      <c r="G5" t="s">
        <v>7</v>
      </c>
      <c r="H5">
        <v>40000</v>
      </c>
    </row>
    <row r="6" spans="2:8" x14ac:dyDescent="0.2">
      <c r="C6" t="s">
        <v>6</v>
      </c>
      <c r="D6">
        <v>15</v>
      </c>
      <c r="E6">
        <v>30</v>
      </c>
      <c r="F6" s="1">
        <f>SUMPRODUCT(D6:E6,$D$2:$E$2)</f>
        <v>195</v>
      </c>
      <c r="G6" t="s">
        <v>7</v>
      </c>
      <c r="H6">
        <v>200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5711D-64A9-264E-B871-B1EE3FC1414C}">
  <dimension ref="A1:G29"/>
  <sheetViews>
    <sheetView showGridLines="0" zoomScale="125" workbookViewId="0">
      <selection activeCell="E23" sqref="E23"/>
    </sheetView>
  </sheetViews>
  <sheetFormatPr baseColWidth="10" defaultRowHeight="16" x14ac:dyDescent="0.2"/>
  <cols>
    <col min="1" max="1" width="2.33203125" customWidth="1"/>
    <col min="2" max="2" width="16.83203125" bestFit="1" customWidth="1"/>
    <col min="3" max="3" width="11.33203125" bestFit="1" customWidth="1"/>
    <col min="4" max="4" width="12.6640625" bestFit="1" customWidth="1"/>
    <col min="5" max="5" width="11.5" bestFit="1" customWidth="1"/>
    <col min="6" max="6" width="10.5" bestFit="1" customWidth="1"/>
    <col min="7" max="7" width="5.6640625" bestFit="1" customWidth="1"/>
  </cols>
  <sheetData>
    <row r="1" spans="1:5" x14ac:dyDescent="0.2">
      <c r="A1" s="3" t="s">
        <v>9</v>
      </c>
    </row>
    <row r="2" spans="1:5" x14ac:dyDescent="0.2">
      <c r="A2" s="3" t="s">
        <v>10</v>
      </c>
    </row>
    <row r="3" spans="1:5" x14ac:dyDescent="0.2">
      <c r="A3" s="3" t="s">
        <v>64</v>
      </c>
    </row>
    <row r="4" spans="1:5" x14ac:dyDescent="0.2">
      <c r="A4" s="3" t="s">
        <v>12</v>
      </c>
    </row>
    <row r="5" spans="1:5" x14ac:dyDescent="0.2">
      <c r="A5" s="3" t="s">
        <v>13</v>
      </c>
    </row>
    <row r="6" spans="1:5" x14ac:dyDescent="0.2">
      <c r="A6" s="3"/>
      <c r="B6" t="s">
        <v>14</v>
      </c>
    </row>
    <row r="7" spans="1:5" x14ac:dyDescent="0.2">
      <c r="A7" s="3"/>
      <c r="B7" t="s">
        <v>65</v>
      </c>
    </row>
    <row r="8" spans="1:5" x14ac:dyDescent="0.2">
      <c r="A8" s="3"/>
      <c r="B8" t="s">
        <v>66</v>
      </c>
    </row>
    <row r="9" spans="1:5" x14ac:dyDescent="0.2">
      <c r="A9" s="3" t="s">
        <v>17</v>
      </c>
    </row>
    <row r="10" spans="1:5" x14ac:dyDescent="0.2">
      <c r="B10" t="s">
        <v>67</v>
      </c>
    </row>
    <row r="11" spans="1:5" x14ac:dyDescent="0.2">
      <c r="B11" t="s">
        <v>19</v>
      </c>
    </row>
    <row r="14" spans="1:5" ht="17" thickBot="1" x14ac:dyDescent="0.25">
      <c r="A14" t="s">
        <v>20</v>
      </c>
    </row>
    <row r="15" spans="1:5" ht="17" thickBot="1" x14ac:dyDescent="0.25">
      <c r="B15" s="5" t="s">
        <v>21</v>
      </c>
      <c r="C15" s="5" t="s">
        <v>22</v>
      </c>
      <c r="D15" s="5" t="s">
        <v>23</v>
      </c>
      <c r="E15" s="5" t="s">
        <v>24</v>
      </c>
    </row>
    <row r="16" spans="1:5" ht="17" thickBot="1" x14ac:dyDescent="0.25">
      <c r="B16" s="4" t="s">
        <v>32</v>
      </c>
      <c r="C16" s="4" t="s">
        <v>33</v>
      </c>
      <c r="D16" s="7">
        <v>1055.5555555555557</v>
      </c>
      <c r="E16" s="7">
        <v>1000</v>
      </c>
    </row>
    <row r="19" spans="1:7" ht="17" thickBot="1" x14ac:dyDescent="0.25">
      <c r="A19" t="s">
        <v>25</v>
      </c>
    </row>
    <row r="20" spans="1:7" ht="17" thickBot="1" x14ac:dyDescent="0.25">
      <c r="B20" s="5" t="s">
        <v>21</v>
      </c>
      <c r="C20" s="5" t="s">
        <v>22</v>
      </c>
      <c r="D20" s="5" t="s">
        <v>23</v>
      </c>
      <c r="E20" s="5" t="s">
        <v>24</v>
      </c>
      <c r="F20" s="5" t="s">
        <v>26</v>
      </c>
    </row>
    <row r="21" spans="1:7" x14ac:dyDescent="0.2">
      <c r="B21" s="6" t="s">
        <v>34</v>
      </c>
      <c r="C21" s="6" t="s">
        <v>1</v>
      </c>
      <c r="D21" s="8">
        <v>2.2222222222222219</v>
      </c>
      <c r="E21" s="8">
        <v>1</v>
      </c>
      <c r="F21" s="6" t="s">
        <v>26</v>
      </c>
    </row>
    <row r="22" spans="1:7" ht="17" thickBot="1" x14ac:dyDescent="0.25">
      <c r="B22" s="4" t="s">
        <v>36</v>
      </c>
      <c r="C22" s="4" t="s">
        <v>2</v>
      </c>
      <c r="D22" s="7">
        <v>5.5555555555555562</v>
      </c>
      <c r="E22" s="7">
        <v>6</v>
      </c>
      <c r="F22" s="4" t="s">
        <v>26</v>
      </c>
    </row>
    <row r="25" spans="1:7" ht="17" thickBot="1" x14ac:dyDescent="0.25">
      <c r="A25" t="s">
        <v>27</v>
      </c>
    </row>
    <row r="26" spans="1:7" ht="17" thickBot="1" x14ac:dyDescent="0.25">
      <c r="B26" s="5" t="s">
        <v>21</v>
      </c>
      <c r="C26" s="5" t="s">
        <v>22</v>
      </c>
      <c r="D26" s="5" t="s">
        <v>28</v>
      </c>
      <c r="E26" s="5" t="s">
        <v>29</v>
      </c>
      <c r="F26" s="5" t="s">
        <v>30</v>
      </c>
      <c r="G26" s="5" t="s">
        <v>31</v>
      </c>
    </row>
    <row r="27" spans="1:7" x14ac:dyDescent="0.2">
      <c r="B27" s="6" t="s">
        <v>37</v>
      </c>
      <c r="C27" s="6" t="s">
        <v>38</v>
      </c>
      <c r="D27" s="8">
        <v>32000</v>
      </c>
      <c r="E27" s="6" t="s">
        <v>39</v>
      </c>
      <c r="F27" s="6" t="s">
        <v>68</v>
      </c>
      <c r="G27" s="6">
        <v>8000</v>
      </c>
    </row>
    <row r="28" spans="1:7" x14ac:dyDescent="0.2">
      <c r="B28" s="6" t="s">
        <v>41</v>
      </c>
      <c r="C28" s="6" t="s">
        <v>42</v>
      </c>
      <c r="D28" s="8">
        <v>195</v>
      </c>
      <c r="E28" s="6" t="s">
        <v>43</v>
      </c>
      <c r="F28" s="6" t="s">
        <v>68</v>
      </c>
      <c r="G28" s="6">
        <v>5</v>
      </c>
    </row>
    <row r="29" spans="1:7" ht="17" thickBot="1" x14ac:dyDescent="0.25">
      <c r="B29" s="4" t="s">
        <v>69</v>
      </c>
      <c r="C29" s="4"/>
      <c r="D29" s="4"/>
      <c r="E29" s="4"/>
      <c r="F29" s="4"/>
      <c r="G2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750B-8AC4-5B47-ADE3-4209522E1011}">
  <dimension ref="A1:G28"/>
  <sheetViews>
    <sheetView showGridLines="0" workbookViewId="0"/>
  </sheetViews>
  <sheetFormatPr baseColWidth="10" defaultRowHeight="16" x14ac:dyDescent="0.2"/>
  <cols>
    <col min="1" max="1" width="2.33203125" customWidth="1"/>
    <col min="2" max="2" width="5.1640625" bestFit="1" customWidth="1"/>
    <col min="3" max="3" width="11.33203125" bestFit="1" customWidth="1"/>
    <col min="4" max="4" width="12.6640625" bestFit="1" customWidth="1"/>
    <col min="5" max="5" width="12.1640625" bestFit="1" customWidth="1"/>
    <col min="6" max="6" width="7.1640625" bestFit="1" customWidth="1"/>
    <col min="7" max="7" width="5.6640625" bestFit="1" customWidth="1"/>
  </cols>
  <sheetData>
    <row r="1" spans="1:5" x14ac:dyDescent="0.2">
      <c r="A1" s="3" t="s">
        <v>9</v>
      </c>
    </row>
    <row r="2" spans="1:5" x14ac:dyDescent="0.2">
      <c r="A2" s="3" t="s">
        <v>10</v>
      </c>
    </row>
    <row r="3" spans="1:5" x14ac:dyDescent="0.2">
      <c r="A3" s="3" t="s">
        <v>11</v>
      </c>
    </row>
    <row r="4" spans="1:5" x14ac:dyDescent="0.2">
      <c r="A4" s="3" t="s">
        <v>12</v>
      </c>
    </row>
    <row r="5" spans="1:5" x14ac:dyDescent="0.2">
      <c r="A5" s="3" t="s">
        <v>13</v>
      </c>
    </row>
    <row r="6" spans="1:5" x14ac:dyDescent="0.2">
      <c r="A6" s="3"/>
      <c r="B6" t="s">
        <v>14</v>
      </c>
    </row>
    <row r="7" spans="1:5" x14ac:dyDescent="0.2">
      <c r="A7" s="3"/>
      <c r="B7" t="s">
        <v>15</v>
      </c>
    </row>
    <row r="8" spans="1:5" x14ac:dyDescent="0.2">
      <c r="A8" s="3"/>
      <c r="B8" t="s">
        <v>16</v>
      </c>
    </row>
    <row r="9" spans="1:5" x14ac:dyDescent="0.2">
      <c r="A9" s="3" t="s">
        <v>17</v>
      </c>
    </row>
    <row r="10" spans="1:5" x14ac:dyDescent="0.2">
      <c r="B10" t="s">
        <v>18</v>
      </c>
    </row>
    <row r="11" spans="1:5" x14ac:dyDescent="0.2">
      <c r="B11" t="s">
        <v>19</v>
      </c>
    </row>
    <row r="14" spans="1:5" ht="17" thickBot="1" x14ac:dyDescent="0.25">
      <c r="A14" t="s">
        <v>20</v>
      </c>
    </row>
    <row r="15" spans="1:5" ht="17" thickBot="1" x14ac:dyDescent="0.25">
      <c r="B15" s="5" t="s">
        <v>21</v>
      </c>
      <c r="C15" s="5" t="s">
        <v>22</v>
      </c>
      <c r="D15" s="5" t="s">
        <v>23</v>
      </c>
      <c r="E15" s="5" t="s">
        <v>24</v>
      </c>
    </row>
    <row r="16" spans="1:5" ht="17" thickBot="1" x14ac:dyDescent="0.25">
      <c r="B16" s="4" t="s">
        <v>32</v>
      </c>
      <c r="C16" s="4" t="s">
        <v>33</v>
      </c>
      <c r="D16" s="7">
        <v>250</v>
      </c>
      <c r="E16" s="7">
        <v>1055.5555555555557</v>
      </c>
    </row>
    <row r="19" spans="1:7" ht="17" thickBot="1" x14ac:dyDescent="0.25">
      <c r="A19" t="s">
        <v>25</v>
      </c>
    </row>
    <row r="20" spans="1:7" ht="17" thickBot="1" x14ac:dyDescent="0.25">
      <c r="B20" s="5" t="s">
        <v>21</v>
      </c>
      <c r="C20" s="5" t="s">
        <v>22</v>
      </c>
      <c r="D20" s="5" t="s">
        <v>23</v>
      </c>
      <c r="E20" s="5" t="s">
        <v>24</v>
      </c>
      <c r="F20" s="5" t="s">
        <v>26</v>
      </c>
    </row>
    <row r="21" spans="1:7" x14ac:dyDescent="0.2">
      <c r="B21" s="6" t="s">
        <v>34</v>
      </c>
      <c r="C21" s="6" t="s">
        <v>1</v>
      </c>
      <c r="D21" s="8">
        <v>1</v>
      </c>
      <c r="E21" s="8">
        <v>2.2222222222222219</v>
      </c>
      <c r="F21" s="6" t="s">
        <v>35</v>
      </c>
    </row>
    <row r="22" spans="1:7" ht="17" thickBot="1" x14ac:dyDescent="0.25">
      <c r="B22" s="4" t="s">
        <v>36</v>
      </c>
      <c r="C22" s="4" t="s">
        <v>2</v>
      </c>
      <c r="D22" s="7">
        <v>1</v>
      </c>
      <c r="E22" s="7">
        <v>5.5555555555555562</v>
      </c>
      <c r="F22" s="4" t="s">
        <v>35</v>
      </c>
    </row>
    <row r="25" spans="1:7" ht="17" thickBot="1" x14ac:dyDescent="0.25">
      <c r="A25" t="s">
        <v>27</v>
      </c>
    </row>
    <row r="26" spans="1:7" ht="17" thickBot="1" x14ac:dyDescent="0.25">
      <c r="B26" s="5" t="s">
        <v>21</v>
      </c>
      <c r="C26" s="5" t="s">
        <v>22</v>
      </c>
      <c r="D26" s="5" t="s">
        <v>28</v>
      </c>
      <c r="E26" s="5" t="s">
        <v>29</v>
      </c>
      <c r="F26" s="5" t="s">
        <v>30</v>
      </c>
      <c r="G26" s="5" t="s">
        <v>31</v>
      </c>
    </row>
    <row r="27" spans="1:7" x14ac:dyDescent="0.2">
      <c r="B27" s="6" t="s">
        <v>37</v>
      </c>
      <c r="C27" s="6" t="s">
        <v>38</v>
      </c>
      <c r="D27" s="8">
        <v>40000</v>
      </c>
      <c r="E27" s="6" t="s">
        <v>39</v>
      </c>
      <c r="F27" s="6" t="s">
        <v>40</v>
      </c>
      <c r="G27" s="6">
        <v>0</v>
      </c>
    </row>
    <row r="28" spans="1:7" ht="17" thickBot="1" x14ac:dyDescent="0.25">
      <c r="B28" s="4" t="s">
        <v>41</v>
      </c>
      <c r="C28" s="4" t="s">
        <v>42</v>
      </c>
      <c r="D28" s="7">
        <v>200</v>
      </c>
      <c r="E28" s="4" t="s">
        <v>43</v>
      </c>
      <c r="F28" s="4" t="s">
        <v>40</v>
      </c>
      <c r="G28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6095E-3439-164D-B044-6272E5888165}">
  <dimension ref="A1:H16"/>
  <sheetViews>
    <sheetView showGridLines="0" workbookViewId="0">
      <selection sqref="A1:A3"/>
    </sheetView>
  </sheetViews>
  <sheetFormatPr baseColWidth="10" defaultRowHeight="16" x14ac:dyDescent="0.2"/>
  <cols>
    <col min="1" max="1" width="2.33203125" customWidth="1"/>
    <col min="2" max="2" width="5.5" bestFit="1" customWidth="1"/>
    <col min="3" max="3" width="11.33203125" bestFit="1" customWidth="1"/>
    <col min="4" max="5" width="12.1640625" bestFit="1" customWidth="1"/>
    <col min="6" max="6" width="10.5" bestFit="1" customWidth="1"/>
    <col min="7" max="8" width="12.1640625" bestFit="1" customWidth="1"/>
  </cols>
  <sheetData>
    <row r="1" spans="1:8" x14ac:dyDescent="0.2">
      <c r="A1" s="3" t="s">
        <v>44</v>
      </c>
    </row>
    <row r="2" spans="1:8" x14ac:dyDescent="0.2">
      <c r="A2" s="3" t="s">
        <v>10</v>
      </c>
    </row>
    <row r="3" spans="1:8" x14ac:dyDescent="0.2">
      <c r="A3" s="3" t="s">
        <v>11</v>
      </c>
    </row>
    <row r="6" spans="1:8" ht="17" thickBot="1" x14ac:dyDescent="0.25">
      <c r="A6" t="s">
        <v>25</v>
      </c>
    </row>
    <row r="7" spans="1:8" x14ac:dyDescent="0.2">
      <c r="B7" s="9"/>
      <c r="C7" s="9"/>
      <c r="D7" s="9" t="s">
        <v>45</v>
      </c>
      <c r="E7" s="9" t="s">
        <v>47</v>
      </c>
      <c r="F7" s="9" t="s">
        <v>49</v>
      </c>
      <c r="G7" s="9" t="s">
        <v>51</v>
      </c>
      <c r="H7" s="9" t="s">
        <v>51</v>
      </c>
    </row>
    <row r="8" spans="1:8" ht="17" thickBot="1" x14ac:dyDescent="0.25">
      <c r="B8" s="10" t="s">
        <v>21</v>
      </c>
      <c r="C8" s="10" t="s">
        <v>22</v>
      </c>
      <c r="D8" s="10" t="s">
        <v>46</v>
      </c>
      <c r="E8" s="10" t="s">
        <v>48</v>
      </c>
      <c r="F8" s="10" t="s">
        <v>50</v>
      </c>
      <c r="G8" s="10" t="s">
        <v>52</v>
      </c>
      <c r="H8" s="10" t="s">
        <v>53</v>
      </c>
    </row>
    <row r="9" spans="1:8" x14ac:dyDescent="0.2">
      <c r="B9" s="6" t="s">
        <v>34</v>
      </c>
      <c r="C9" s="6" t="s">
        <v>1</v>
      </c>
      <c r="D9" s="6">
        <v>2.2222222222222219</v>
      </c>
      <c r="E9" s="6">
        <v>0</v>
      </c>
      <c r="F9" s="6">
        <v>100</v>
      </c>
      <c r="G9" s="6">
        <v>200</v>
      </c>
      <c r="H9" s="6">
        <v>25</v>
      </c>
    </row>
    <row r="10" spans="1:8" ht="17" thickBot="1" x14ac:dyDescent="0.25">
      <c r="B10" s="4" t="s">
        <v>36</v>
      </c>
      <c r="C10" s="4" t="s">
        <v>2</v>
      </c>
      <c r="D10" s="4">
        <v>5.5555555555555562</v>
      </c>
      <c r="E10" s="4">
        <v>0</v>
      </c>
      <c r="F10" s="4">
        <v>150</v>
      </c>
      <c r="G10" s="4">
        <v>50</v>
      </c>
      <c r="H10" s="4">
        <v>100</v>
      </c>
    </row>
    <row r="12" spans="1:8" ht="17" thickBot="1" x14ac:dyDescent="0.25">
      <c r="A12" t="s">
        <v>27</v>
      </c>
    </row>
    <row r="13" spans="1:8" x14ac:dyDescent="0.2">
      <c r="B13" s="9"/>
      <c r="C13" s="9"/>
      <c r="D13" s="9" t="s">
        <v>45</v>
      </c>
      <c r="E13" s="9" t="s">
        <v>54</v>
      </c>
      <c r="F13" s="9" t="s">
        <v>56</v>
      </c>
      <c r="G13" s="9" t="s">
        <v>51</v>
      </c>
      <c r="H13" s="9" t="s">
        <v>51</v>
      </c>
    </row>
    <row r="14" spans="1:8" ht="17" thickBot="1" x14ac:dyDescent="0.25">
      <c r="B14" s="10" t="s">
        <v>21</v>
      </c>
      <c r="C14" s="10" t="s">
        <v>22</v>
      </c>
      <c r="D14" s="10" t="s">
        <v>46</v>
      </c>
      <c r="E14" s="10" t="s">
        <v>55</v>
      </c>
      <c r="F14" s="10" t="s">
        <v>57</v>
      </c>
      <c r="G14" s="10" t="s">
        <v>52</v>
      </c>
      <c r="H14" s="10" t="s">
        <v>53</v>
      </c>
    </row>
    <row r="15" spans="1:8" x14ac:dyDescent="0.2">
      <c r="B15" s="6" t="s">
        <v>37</v>
      </c>
      <c r="C15" s="6" t="s">
        <v>38</v>
      </c>
      <c r="D15" s="6">
        <v>40000</v>
      </c>
      <c r="E15" s="6">
        <v>4.1666666666666666E-3</v>
      </c>
      <c r="F15" s="6">
        <v>40000</v>
      </c>
      <c r="G15" s="6">
        <v>66666.666666666672</v>
      </c>
      <c r="H15" s="6">
        <v>13333.333333333332</v>
      </c>
    </row>
    <row r="16" spans="1:8" ht="17" thickBot="1" x14ac:dyDescent="0.25">
      <c r="B16" s="4" t="s">
        <v>41</v>
      </c>
      <c r="C16" s="4" t="s">
        <v>42</v>
      </c>
      <c r="D16" s="4">
        <v>200</v>
      </c>
      <c r="E16" s="4">
        <v>4.4444444444444446</v>
      </c>
      <c r="F16" s="4">
        <v>200</v>
      </c>
      <c r="G16" s="4">
        <v>99.999999999999986</v>
      </c>
      <c r="H16" s="4">
        <v>125.00000000000001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0A0D-0408-164B-9245-D3968C925049}">
  <dimension ref="A1:J14"/>
  <sheetViews>
    <sheetView showGridLines="0" workbookViewId="0">
      <selection activeCell="N39" sqref="N39"/>
    </sheetView>
  </sheetViews>
  <sheetFormatPr baseColWidth="10" defaultRowHeight="16" x14ac:dyDescent="0.2"/>
  <cols>
    <col min="1" max="1" width="2.33203125" customWidth="1"/>
    <col min="2" max="2" width="5.5" bestFit="1" customWidth="1"/>
    <col min="3" max="3" width="9" bestFit="1" customWidth="1"/>
    <col min="4" max="4" width="12.1640625" bestFit="1" customWidth="1"/>
    <col min="5" max="5" width="2.33203125" customWidth="1"/>
    <col min="6" max="6" width="6.1640625" bestFit="1" customWidth="1"/>
    <col min="7" max="7" width="9" bestFit="1" customWidth="1"/>
    <col min="8" max="8" width="2.33203125" customWidth="1"/>
    <col min="9" max="9" width="6.1640625" bestFit="1" customWidth="1"/>
    <col min="10" max="10" width="9" bestFit="1" customWidth="1"/>
  </cols>
  <sheetData>
    <row r="1" spans="1:10" x14ac:dyDescent="0.2">
      <c r="A1" s="3" t="s">
        <v>58</v>
      </c>
    </row>
    <row r="2" spans="1:10" x14ac:dyDescent="0.2">
      <c r="A2" s="3" t="s">
        <v>10</v>
      </c>
    </row>
    <row r="3" spans="1:10" x14ac:dyDescent="0.2">
      <c r="A3" s="3" t="s">
        <v>11</v>
      </c>
    </row>
    <row r="5" spans="1:10" ht="17" thickBot="1" x14ac:dyDescent="0.25"/>
    <row r="6" spans="1:10" x14ac:dyDescent="0.2">
      <c r="B6" s="9"/>
      <c r="C6" s="9" t="s">
        <v>49</v>
      </c>
      <c r="D6" s="9"/>
    </row>
    <row r="7" spans="1:10" ht="17" thickBot="1" x14ac:dyDescent="0.25">
      <c r="B7" s="10" t="s">
        <v>21</v>
      </c>
      <c r="C7" s="10" t="s">
        <v>22</v>
      </c>
      <c r="D7" s="10" t="s">
        <v>46</v>
      </c>
    </row>
    <row r="8" spans="1:10" ht="17" thickBot="1" x14ac:dyDescent="0.25">
      <c r="B8" s="4" t="s">
        <v>32</v>
      </c>
      <c r="C8" s="4" t="s">
        <v>33</v>
      </c>
      <c r="D8" s="7">
        <v>1055.5555555555557</v>
      </c>
    </row>
    <row r="10" spans="1:10" ht="17" thickBot="1" x14ac:dyDescent="0.25"/>
    <row r="11" spans="1:10" x14ac:dyDescent="0.2">
      <c r="B11" s="9"/>
      <c r="C11" s="9" t="s">
        <v>59</v>
      </c>
      <c r="D11" s="9"/>
      <c r="F11" s="9" t="s">
        <v>60</v>
      </c>
      <c r="G11" s="9" t="s">
        <v>49</v>
      </c>
      <c r="I11" s="9" t="s">
        <v>63</v>
      </c>
      <c r="J11" s="9" t="s">
        <v>49</v>
      </c>
    </row>
    <row r="12" spans="1:10" ht="17" thickBot="1" x14ac:dyDescent="0.25">
      <c r="B12" s="10" t="s">
        <v>21</v>
      </c>
      <c r="C12" s="10" t="s">
        <v>22</v>
      </c>
      <c r="D12" s="10" t="s">
        <v>46</v>
      </c>
      <c r="F12" s="10" t="s">
        <v>61</v>
      </c>
      <c r="G12" s="10" t="s">
        <v>62</v>
      </c>
      <c r="I12" s="10" t="s">
        <v>61</v>
      </c>
      <c r="J12" s="10" t="s">
        <v>62</v>
      </c>
    </row>
    <row r="13" spans="1:10" x14ac:dyDescent="0.2">
      <c r="B13" s="6" t="s">
        <v>34</v>
      </c>
      <c r="C13" s="6" t="s">
        <v>1</v>
      </c>
      <c r="D13" s="8">
        <v>2.2222222222222219</v>
      </c>
      <c r="F13" s="8">
        <v>0</v>
      </c>
      <c r="G13" s="8">
        <v>85</v>
      </c>
      <c r="I13" s="8">
        <v>250</v>
      </c>
      <c r="J13" s="8">
        <v>18835</v>
      </c>
    </row>
    <row r="14" spans="1:10" ht="17" thickBot="1" x14ac:dyDescent="0.25">
      <c r="B14" s="4" t="s">
        <v>36</v>
      </c>
      <c r="C14" s="4" t="s">
        <v>2</v>
      </c>
      <c r="D14" s="7">
        <v>5.5555555555555562</v>
      </c>
      <c r="F14" s="7">
        <v>0</v>
      </c>
      <c r="G14" s="7">
        <v>110</v>
      </c>
      <c r="I14" s="7">
        <v>398.5</v>
      </c>
      <c r="J14" s="7">
        <v>20035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</vt:lpstr>
      <vt:lpstr>Answer Report Integer</vt:lpstr>
      <vt:lpstr>Answer Report LR</vt:lpstr>
      <vt:lpstr>Sensitivity Report LR</vt:lpstr>
      <vt:lpstr>Limits Report 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Souyris, Sebastian</dc:creator>
  <cp:lastModifiedBy>Souyris, Sebastian</cp:lastModifiedBy>
  <dcterms:created xsi:type="dcterms:W3CDTF">2026-09-08T14:38:51Z</dcterms:created>
  <dcterms:modified xsi:type="dcterms:W3CDTF">2026-09-08T14:51:35Z</dcterms:modified>
</cp:coreProperties>
</file>