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  <sheet name="Cities" sheetId="2" r:id="rId11"/>
  </sheets>
  <definedNames>
    <definedName name="solver_adj" hidden="true" localSheetId="0">Model!$B$98:$CP$98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Model!$CQ$4:$CQ$96</definedName>
    <definedName name="solver_lhs2" hidden="true" localSheetId="0">Model!$B$98:$CP$98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2</definedName>
    <definedName name="solver_nwt" hidden="true" localSheetId="0">1</definedName>
    <definedName name="solver_opt" hidden="true" localSheetId="0">Model!$B$101</definedName>
    <definedName name="solver_pre" hidden="true" localSheetId="0">1</definedName>
    <definedName name="solver_rel1" hidden="true" localSheetId="0">3</definedName>
    <definedName name="solver_rel2" hidden="true" localSheetId="0">5</definedName>
    <definedName name="solver_rhs1" hidden="true" localSheetId="0">Model!$CS$4:$CS$96</definedName>
    <definedName name="solver_rhs2" hidden="true" localSheetId="0">binary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2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<sst xmlns="http://schemas.openxmlformats.org/spreadsheetml/2006/main" count="417" uniqueCount="417">
  <si>
    <t xml:space="preserve">APS hub location: set covering over every US city above 250,000</t>
  </si>
  <si>
    <t xml:space="preserve">City</t>
  </si>
  <si>
    <t xml:space="preserve">Covered by</t>
  </si>
  <si>
    <t xml:space="preserve">Required</t>
  </si>
  <si>
    <t xml:space="preserve">1. New York, NY</t>
  </si>
  <si>
    <t xml:space="preserve">&gt;=</t>
  </si>
  <si>
    <t xml:space="preserve">2. Los Angeles, CA</t>
  </si>
  <si>
    <t xml:space="preserve">3. Chicago, IL</t>
  </si>
  <si>
    <t xml:space="preserve">4. Houston, TX</t>
  </si>
  <si>
    <t xml:space="preserve">5. Phoenix, AZ</t>
  </si>
  <si>
    <t xml:space="preserve">6. Philadelphia, PA</t>
  </si>
  <si>
    <t xml:space="preserve">7. San Antonio, TX</t>
  </si>
  <si>
    <t xml:space="preserve">8. San Diego, CA</t>
  </si>
  <si>
    <t xml:space="preserve">9. Dallas, TX</t>
  </si>
  <si>
    <t xml:space="preserve">10. Jacksonville, FL</t>
  </si>
  <si>
    <t xml:space="preserve">11. Fort Worth, TX</t>
  </si>
  <si>
    <t xml:space="preserve">12. San Jose, CA</t>
  </si>
  <si>
    <t xml:space="preserve">13. Austin, TX</t>
  </si>
  <si>
    <t xml:space="preserve">14. Charlotte, NC</t>
  </si>
  <si>
    <t xml:space="preserve">15. Columbus, OH</t>
  </si>
  <si>
    <t xml:space="preserve">16. Indianapolis, IN</t>
  </si>
  <si>
    <t xml:space="preserve">17. San Francisco, CA</t>
  </si>
  <si>
    <t xml:space="preserve">18. Seattle, WA</t>
  </si>
  <si>
    <t xml:space="preserve">19. Denver, CO</t>
  </si>
  <si>
    <t xml:space="preserve">20. Oklahoma City, OK</t>
  </si>
  <si>
    <t xml:space="preserve">21. Nashville, TN</t>
  </si>
  <si>
    <t xml:space="preserve">22. Washington, DC</t>
  </si>
  <si>
    <t xml:space="preserve">23. El Paso, TX</t>
  </si>
  <si>
    <t xml:space="preserve">24. Las Vegas, NV</t>
  </si>
  <si>
    <t xml:space="preserve">25. Boston, MA</t>
  </si>
  <si>
    <t xml:space="preserve">26. Detroit, MI</t>
  </si>
  <si>
    <t xml:space="preserve">27. Louisville, KY</t>
  </si>
  <si>
    <t xml:space="preserve">28. Portland, OR</t>
  </si>
  <si>
    <t xml:space="preserve">29. Memphis, TN</t>
  </si>
  <si>
    <t xml:space="preserve">30. Baltimore, MD</t>
  </si>
  <si>
    <t xml:space="preserve">31. Milwaukee, WI</t>
  </si>
  <si>
    <t xml:space="preserve">32. Albuquerque, NM</t>
  </si>
  <si>
    <t xml:space="preserve">33. Tucson, AZ</t>
  </si>
  <si>
    <t xml:space="preserve">34. Fresno, CA</t>
  </si>
  <si>
    <t xml:space="preserve">35. Sacramento, CA</t>
  </si>
  <si>
    <t xml:space="preserve">36. Atlanta, GA</t>
  </si>
  <si>
    <t xml:space="preserve">37. Mesa, AZ</t>
  </si>
  <si>
    <t xml:space="preserve">38. Kansas City, MO</t>
  </si>
  <si>
    <t xml:space="preserve">39. Raleigh, NC</t>
  </si>
  <si>
    <t xml:space="preserve">40. Colorado Springs, CO</t>
  </si>
  <si>
    <t xml:space="preserve">41. Omaha, NE</t>
  </si>
  <si>
    <t xml:space="preserve">42. Miami, FL</t>
  </si>
  <si>
    <t xml:space="preserve">43. Virginia Beach, VA</t>
  </si>
  <si>
    <t xml:space="preserve">44. Long Beach, CA</t>
  </si>
  <si>
    <t xml:space="preserve">45. Oakland, CA</t>
  </si>
  <si>
    <t xml:space="preserve">46. Minneapolis, MN</t>
  </si>
  <si>
    <t xml:space="preserve">47. Bakersfield, CA</t>
  </si>
  <si>
    <t xml:space="preserve">48. Tulsa, OK</t>
  </si>
  <si>
    <t xml:space="preserve">49. Tampa, FL</t>
  </si>
  <si>
    <t xml:space="preserve">50. Arlington, TX</t>
  </si>
  <si>
    <t xml:space="preserve">51. Aurora, CO</t>
  </si>
  <si>
    <t xml:space="preserve">52. Wichita, KS</t>
  </si>
  <si>
    <t xml:space="preserve">53. Cleveland, OH</t>
  </si>
  <si>
    <t xml:space="preserve">54. New Orleans, LA</t>
  </si>
  <si>
    <t xml:space="preserve">55. Henderson, NV</t>
  </si>
  <si>
    <t xml:space="preserve">56. Urban Honolulu, HI</t>
  </si>
  <si>
    <t xml:space="preserve">57. Anaheim, CA</t>
  </si>
  <si>
    <t xml:space="preserve">58. Orlando, FL</t>
  </si>
  <si>
    <t xml:space="preserve">59. Lexington, KY</t>
  </si>
  <si>
    <t xml:space="preserve">60. Stockton, CA</t>
  </si>
  <si>
    <t xml:space="preserve">61. Riverside, CA</t>
  </si>
  <si>
    <t xml:space="preserve">62. Irvine, CA</t>
  </si>
  <si>
    <t xml:space="preserve">63. Corpus Christi, TX</t>
  </si>
  <si>
    <t xml:space="preserve">64. Newark, NJ</t>
  </si>
  <si>
    <t xml:space="preserve">65. Santa Ana, CA</t>
  </si>
  <si>
    <t xml:space="preserve">66. Cincinnati, OH</t>
  </si>
  <si>
    <t xml:space="preserve">67. Pittsburgh, PA</t>
  </si>
  <si>
    <t xml:space="preserve">68. St. Paul, MN</t>
  </si>
  <si>
    <t xml:space="preserve">69. Greensboro, NC</t>
  </si>
  <si>
    <t xml:space="preserve">70. Jersey City, NJ</t>
  </si>
  <si>
    <t xml:space="preserve">71. Durham, NC</t>
  </si>
  <si>
    <t xml:space="preserve">72. Lincoln, NE</t>
  </si>
  <si>
    <t xml:space="preserve">73. North Las Vegas, NV</t>
  </si>
  <si>
    <t xml:space="preserve">74. Plano, TX</t>
  </si>
  <si>
    <t xml:space="preserve">75. Anchorage, AK</t>
  </si>
  <si>
    <t xml:space="preserve">76. Gilbert, AZ</t>
  </si>
  <si>
    <t xml:space="preserve">77. Madison, WI</t>
  </si>
  <si>
    <t xml:space="preserve">78. Reno, NV</t>
  </si>
  <si>
    <t xml:space="preserve">79. Chandler, AZ</t>
  </si>
  <si>
    <t xml:space="preserve">80. St. Louis, MO</t>
  </si>
  <si>
    <t xml:space="preserve">81. Chula Vista, CA</t>
  </si>
  <si>
    <t xml:space="preserve">82. Buffalo, NY</t>
  </si>
  <si>
    <t xml:space="preserve">83. Fort Wayne, IN</t>
  </si>
  <si>
    <t xml:space="preserve">84. Lubbock, TX</t>
  </si>
  <si>
    <t xml:space="preserve">85. St. Petersburg, FL</t>
  </si>
  <si>
    <t xml:space="preserve">86. Toledo, OH</t>
  </si>
  <si>
    <t xml:space="preserve">87. Laredo, TX</t>
  </si>
  <si>
    <t xml:space="preserve">88. Port St. Lucie, FL</t>
  </si>
  <si>
    <t xml:space="preserve">89. Glendale, AZ</t>
  </si>
  <si>
    <t xml:space="preserve">90. Irving, TX</t>
  </si>
  <si>
    <t xml:space="preserve">91. Winston-Salem, NC</t>
  </si>
  <si>
    <t xml:space="preserve">92. Chesapeake, VA</t>
  </si>
  <si>
    <t xml:space="preserve">93. Garland, TX</t>
  </si>
  <si>
    <t xml:space="preserve">Hub? (changing cells, binary)</t>
  </si>
  <si>
    <t xml:space="preserve">New Y</t>
  </si>
  <si>
    <t xml:space="preserve">Los A</t>
  </si>
  <si>
    <t xml:space="preserve">Chica</t>
  </si>
  <si>
    <t xml:space="preserve">Houst</t>
  </si>
  <si>
    <t xml:space="preserve">Phoen</t>
  </si>
  <si>
    <t xml:space="preserve">Phila</t>
  </si>
  <si>
    <t xml:space="preserve">San A</t>
  </si>
  <si>
    <t xml:space="preserve">San D</t>
  </si>
  <si>
    <t xml:space="preserve">Dalla</t>
  </si>
  <si>
    <t xml:space="preserve">Jacks</t>
  </si>
  <si>
    <t xml:space="preserve">Fort </t>
  </si>
  <si>
    <t xml:space="preserve">San J</t>
  </si>
  <si>
    <t xml:space="preserve">Austi</t>
  </si>
  <si>
    <t xml:space="preserve">Charl</t>
  </si>
  <si>
    <t xml:space="preserve">Colum</t>
  </si>
  <si>
    <t xml:space="preserve">India</t>
  </si>
  <si>
    <t xml:space="preserve">San F</t>
  </si>
  <si>
    <t xml:space="preserve">Seatt</t>
  </si>
  <si>
    <t xml:space="preserve">Denve</t>
  </si>
  <si>
    <t xml:space="preserve">Oklah</t>
  </si>
  <si>
    <t xml:space="preserve">Nashv</t>
  </si>
  <si>
    <t xml:space="preserve">Washi</t>
  </si>
  <si>
    <t xml:space="preserve">El Pa</t>
  </si>
  <si>
    <t xml:space="preserve">Las V</t>
  </si>
  <si>
    <t xml:space="preserve">Bosto</t>
  </si>
  <si>
    <t xml:space="preserve">Detro</t>
  </si>
  <si>
    <t xml:space="preserve">Louis</t>
  </si>
  <si>
    <t xml:space="preserve">Portl</t>
  </si>
  <si>
    <t xml:space="preserve">Memph</t>
  </si>
  <si>
    <t xml:space="preserve">Balti</t>
  </si>
  <si>
    <t xml:space="preserve">Milwa</t>
  </si>
  <si>
    <t xml:space="preserve">Albuq</t>
  </si>
  <si>
    <t xml:space="preserve">Tucso</t>
  </si>
  <si>
    <t xml:space="preserve">Fresn</t>
  </si>
  <si>
    <t xml:space="preserve">Sacra</t>
  </si>
  <si>
    <t xml:space="preserve">Atlan</t>
  </si>
  <si>
    <t xml:space="preserve">Mesa</t>
  </si>
  <si>
    <t xml:space="preserve">Kansa</t>
  </si>
  <si>
    <t xml:space="preserve">Ralei</t>
  </si>
  <si>
    <t xml:space="preserve">Color</t>
  </si>
  <si>
    <t xml:space="preserve">Omaha</t>
  </si>
  <si>
    <t xml:space="preserve">Miami</t>
  </si>
  <si>
    <t xml:space="preserve">Virgi</t>
  </si>
  <si>
    <t xml:space="preserve">Long </t>
  </si>
  <si>
    <t xml:space="preserve">Oakla</t>
  </si>
  <si>
    <t xml:space="preserve">Minne</t>
  </si>
  <si>
    <t xml:space="preserve">Baker</t>
  </si>
  <si>
    <t xml:space="preserve">Tulsa</t>
  </si>
  <si>
    <t xml:space="preserve">Tampa</t>
  </si>
  <si>
    <t xml:space="preserve">Arlin</t>
  </si>
  <si>
    <t xml:space="preserve">Auror</t>
  </si>
  <si>
    <t xml:space="preserve">Wichi</t>
  </si>
  <si>
    <t xml:space="preserve">Cleve</t>
  </si>
  <si>
    <t xml:space="preserve">New O</t>
  </si>
  <si>
    <t xml:space="preserve">Hende</t>
  </si>
  <si>
    <t xml:space="preserve">Urban</t>
  </si>
  <si>
    <t xml:space="preserve">Anahe</t>
  </si>
  <si>
    <t xml:space="preserve">Orlan</t>
  </si>
  <si>
    <t xml:space="preserve">Lexin</t>
  </si>
  <si>
    <t xml:space="preserve">Stock</t>
  </si>
  <si>
    <t xml:space="preserve">River</t>
  </si>
  <si>
    <t xml:space="preserve">Irvin</t>
  </si>
  <si>
    <t xml:space="preserve">Corpu</t>
  </si>
  <si>
    <t xml:space="preserve">Newar</t>
  </si>
  <si>
    <t xml:space="preserve">Santa</t>
  </si>
  <si>
    <t xml:space="preserve">Cinci</t>
  </si>
  <si>
    <t xml:space="preserve">Pitts</t>
  </si>
  <si>
    <t xml:space="preserve">St. P</t>
  </si>
  <si>
    <t xml:space="preserve">Green</t>
  </si>
  <si>
    <t xml:space="preserve">Jerse</t>
  </si>
  <si>
    <t xml:space="preserve">Durha</t>
  </si>
  <si>
    <t xml:space="preserve">Linco</t>
  </si>
  <si>
    <t xml:space="preserve">North</t>
  </si>
  <si>
    <t xml:space="preserve">Plano</t>
  </si>
  <si>
    <t xml:space="preserve">Ancho</t>
  </si>
  <si>
    <t xml:space="preserve">Gilbe</t>
  </si>
  <si>
    <t xml:space="preserve">Madis</t>
  </si>
  <si>
    <t xml:space="preserve">Reno</t>
  </si>
  <si>
    <t xml:space="preserve">Chand</t>
  </si>
  <si>
    <t xml:space="preserve">St. L</t>
  </si>
  <si>
    <t xml:space="preserve">Chula</t>
  </si>
  <si>
    <t xml:space="preserve">Buffa</t>
  </si>
  <si>
    <t xml:space="preserve">Lubbo</t>
  </si>
  <si>
    <t xml:space="preserve">Toled</t>
  </si>
  <si>
    <t xml:space="preserve">Lared</t>
  </si>
  <si>
    <t xml:space="preserve">Port </t>
  </si>
  <si>
    <t xml:space="preserve">Glend</t>
  </si>
  <si>
    <t xml:space="preserve">Winst</t>
  </si>
  <si>
    <t xml:space="preserve">Chesa</t>
  </si>
  <si>
    <t xml:space="preserve">Garla</t>
  </si>
  <si>
    <t xml:space="preserve">Number of hubs (minimize)</t>
  </si>
  <si>
    <t xml:space="preserve">Legend: blue = coverage data (1 where the column's city is within 300 miles of the row's city); yellow = changing cells; orange = objective.</t>
  </si>
  <si>
    <t xml:space="preserve">Solver: Min B101; changing B98:CP98; CQ4:CQ96 &gt;= CS4:CS96; B98:CP98 binary; Simplex LP.</t>
  </si>
  <si>
    <t xml:space="preserve">93 cities above 250,000 people, so 93 binary variables and 93 coverage constraints. Excel's Solver allows 200 decision cells and constraints on 100 cells that are not decision cells; the binary restriction sits on the changing cells and is not counted.</t>
  </si>
  <si>
    <t xml:space="preserve">93 coverage cells is inside that 100, and Excel solves this file: “Solver found a solution.  All constraints and optimality conditions are satisfied.” The same model over the 128 cities above 200,000 has 128 of them, and Solver refuses it.</t>
  </si>
  <si>
    <t xml:space="preserve">A verified optimum uses 15 hubs (HiGHS through scipy.optimize.milp). The LP relaxation is also 15, so 15 is proved minimal. The optimum is not unique.</t>
  </si>
  <si>
    <t xml:space="preserve">Changing cells start at zero. Populations are Census 2024 estimates; distances are great circle between Census internal points.</t>
  </si>
  <si>
    <t xml:space="preserve">The instance: every US city above 250,000 people</t>
  </si>
  <si>
    <t xml:space="preserve">Rank</t>
  </si>
  <si>
    <t xml:space="preserve">State</t>
  </si>
  <si>
    <t xml:space="preserve">Population (2024)</t>
  </si>
  <si>
    <t xml:space="preserve">Latitude</t>
  </si>
  <si>
    <t xml:space="preserve">Longitude</t>
  </si>
  <si>
    <t xml:space="preserve">Cities within 300 miles</t>
  </si>
  <si>
    <t xml:space="preserve">Hub in one optimum</t>
  </si>
  <si>
    <t xml:space="preserve">Census place name</t>
  </si>
  <si>
    <t xml:space="preserve">New York</t>
  </si>
  <si>
    <t xml:space="preserve">NY</t>
  </si>
  <si>
    <t xml:space="preserve">New York city, New York</t>
  </si>
  <si>
    <t xml:space="preserve">Los Angeles</t>
  </si>
  <si>
    <t xml:space="preserve">CA</t>
  </si>
  <si>
    <t xml:space="preserve">Los Angeles city, California</t>
  </si>
  <si>
    <t xml:space="preserve">Chicago</t>
  </si>
  <si>
    <t xml:space="preserve">IL</t>
  </si>
  <si>
    <t xml:space="preserve">Chicago city, Illinois</t>
  </si>
  <si>
    <t xml:space="preserve">Houston</t>
  </si>
  <si>
    <t xml:space="preserve">TX</t>
  </si>
  <si>
    <t xml:space="preserve">Houston city, Texas</t>
  </si>
  <si>
    <t xml:space="preserve">Phoenix</t>
  </si>
  <si>
    <t xml:space="preserve">AZ</t>
  </si>
  <si>
    <t xml:space="preserve">Phoenix city, Arizona</t>
  </si>
  <si>
    <t xml:space="preserve">Philadelphia</t>
  </si>
  <si>
    <t xml:space="preserve">PA</t>
  </si>
  <si>
    <t xml:space="preserve">Philadelphia city, Pennsylvania</t>
  </si>
  <si>
    <t xml:space="preserve">San Antonio</t>
  </si>
  <si>
    <t xml:space="preserve">San Antonio city, Texas</t>
  </si>
  <si>
    <t xml:space="preserve">San Diego</t>
  </si>
  <si>
    <t xml:space="preserve">San Diego city, California</t>
  </si>
  <si>
    <t xml:space="preserve">Dallas</t>
  </si>
  <si>
    <t xml:space="preserve">Dallas city, Texas</t>
  </si>
  <si>
    <t xml:space="preserve">Jacksonville</t>
  </si>
  <si>
    <t xml:space="preserve">FL</t>
  </si>
  <si>
    <t xml:space="preserve">Jacksonville city, Florida</t>
  </si>
  <si>
    <t xml:space="preserve">Fort Worth</t>
  </si>
  <si>
    <t xml:space="preserve">Fort Worth city, Texas</t>
  </si>
  <si>
    <t xml:space="preserve">San Jose</t>
  </si>
  <si>
    <t xml:space="preserve">San Jose city, California</t>
  </si>
  <si>
    <t xml:space="preserve">Austin</t>
  </si>
  <si>
    <t xml:space="preserve">Austin city, Texas</t>
  </si>
  <si>
    <t xml:space="preserve">Charlotte</t>
  </si>
  <si>
    <t xml:space="preserve">NC</t>
  </si>
  <si>
    <t xml:space="preserve">Charlotte city, North Carolina</t>
  </si>
  <si>
    <t xml:space="preserve">Columbus</t>
  </si>
  <si>
    <t xml:space="preserve">OH</t>
  </si>
  <si>
    <t xml:space="preserve">Columbus city, Ohio</t>
  </si>
  <si>
    <t xml:space="preserve">Indianapolis</t>
  </si>
  <si>
    <t xml:space="preserve">IN</t>
  </si>
  <si>
    <t xml:space="preserve">Indianapolis city (balance), Indiana</t>
  </si>
  <si>
    <t xml:space="preserve">San Francisco</t>
  </si>
  <si>
    <t xml:space="preserve">San Francisco city, California</t>
  </si>
  <si>
    <t xml:space="preserve">Seattle</t>
  </si>
  <si>
    <t xml:space="preserve">WA</t>
  </si>
  <si>
    <t xml:space="preserve">Seattle city, Washington</t>
  </si>
  <si>
    <t xml:space="preserve">Denver</t>
  </si>
  <si>
    <t xml:space="preserve">CO</t>
  </si>
  <si>
    <t xml:space="preserve">Denver city, Colorado</t>
  </si>
  <si>
    <t xml:space="preserve">Oklahoma City</t>
  </si>
  <si>
    <t xml:space="preserve">OK</t>
  </si>
  <si>
    <t xml:space="preserve">Oklahoma City city, Oklahoma</t>
  </si>
  <si>
    <t xml:space="preserve">Nashville</t>
  </si>
  <si>
    <t xml:space="preserve">TN</t>
  </si>
  <si>
    <t xml:space="preserve">Nashville-Davidson metropolitan government (balance), Tennessee</t>
  </si>
  <si>
    <t xml:space="preserve">Washington</t>
  </si>
  <si>
    <t xml:space="preserve">DC</t>
  </si>
  <si>
    <t xml:space="preserve">Washington city, District of Columbia</t>
  </si>
  <si>
    <t xml:space="preserve">El Paso</t>
  </si>
  <si>
    <t xml:space="preserve">El Paso city, Texas</t>
  </si>
  <si>
    <t xml:space="preserve">Las Vegas</t>
  </si>
  <si>
    <t xml:space="preserve">NV</t>
  </si>
  <si>
    <t xml:space="preserve">Las Vegas city, Nevada</t>
  </si>
  <si>
    <t xml:space="preserve">Boston</t>
  </si>
  <si>
    <t xml:space="preserve">MA</t>
  </si>
  <si>
    <t xml:space="preserve">Boston city, Massachusetts</t>
  </si>
  <si>
    <t xml:space="preserve">Detroit</t>
  </si>
  <si>
    <t xml:space="preserve">MI</t>
  </si>
  <si>
    <t xml:space="preserve">Detroit city, Michigan</t>
  </si>
  <si>
    <t xml:space="preserve">Louisville</t>
  </si>
  <si>
    <t xml:space="preserve">KY</t>
  </si>
  <si>
    <t xml:space="preserve">Louisville/Jefferson County metro government (balance), Kentucky</t>
  </si>
  <si>
    <t xml:space="preserve">Portland</t>
  </si>
  <si>
    <t xml:space="preserve">OR</t>
  </si>
  <si>
    <t xml:space="preserve">Portland city, Oregon</t>
  </si>
  <si>
    <t xml:space="preserve">Memphis</t>
  </si>
  <si>
    <t xml:space="preserve">Memphis city, Tennessee</t>
  </si>
  <si>
    <t xml:space="preserve">Baltimore</t>
  </si>
  <si>
    <t xml:space="preserve">MD</t>
  </si>
  <si>
    <t xml:space="preserve">Baltimore city, Maryland</t>
  </si>
  <si>
    <t xml:space="preserve">Milwaukee</t>
  </si>
  <si>
    <t xml:space="preserve">WI</t>
  </si>
  <si>
    <t xml:space="preserve">Milwaukee city, Wisconsin</t>
  </si>
  <si>
    <t xml:space="preserve">Albuquerque</t>
  </si>
  <si>
    <t xml:space="preserve">NM</t>
  </si>
  <si>
    <t xml:space="preserve">Albuquerque city, New Mexico</t>
  </si>
  <si>
    <t xml:space="preserve">Tucson</t>
  </si>
  <si>
    <t xml:space="preserve">Tucson city, Arizona</t>
  </si>
  <si>
    <t xml:space="preserve">Fresno</t>
  </si>
  <si>
    <t xml:space="preserve">Fresno city, California</t>
  </si>
  <si>
    <t xml:space="preserve">Sacramento</t>
  </si>
  <si>
    <t xml:space="preserve">Sacramento city, California</t>
  </si>
  <si>
    <t xml:space="preserve">Atlanta</t>
  </si>
  <si>
    <t xml:space="preserve">GA</t>
  </si>
  <si>
    <t xml:space="preserve">Atlanta city, Georgia</t>
  </si>
  <si>
    <t xml:space="preserve">Mesa city, Arizona</t>
  </si>
  <si>
    <t xml:space="preserve">Kansas City</t>
  </si>
  <si>
    <t xml:space="preserve">MO</t>
  </si>
  <si>
    <t xml:space="preserve">Kansas City city, Missouri</t>
  </si>
  <si>
    <t xml:space="preserve">Raleigh</t>
  </si>
  <si>
    <t xml:space="preserve">Raleigh city, North Carolina</t>
  </si>
  <si>
    <t xml:space="preserve">Colorado Springs</t>
  </si>
  <si>
    <t xml:space="preserve">Colorado Springs city, Colorado</t>
  </si>
  <si>
    <t xml:space="preserve">NE</t>
  </si>
  <si>
    <t xml:space="preserve">Omaha city, Nebraska</t>
  </si>
  <si>
    <t xml:space="preserve">Miami city, Florida</t>
  </si>
  <si>
    <t xml:space="preserve">Virginia Beach</t>
  </si>
  <si>
    <t xml:space="preserve">VA</t>
  </si>
  <si>
    <t xml:space="preserve">Virginia Beach city, Virginia</t>
  </si>
  <si>
    <t xml:space="preserve">Long Beach</t>
  </si>
  <si>
    <t xml:space="preserve">Long Beach city, California</t>
  </si>
  <si>
    <t xml:space="preserve">Oakland</t>
  </si>
  <si>
    <t xml:space="preserve">Oakland city, California</t>
  </si>
  <si>
    <t xml:space="preserve">Minneapolis</t>
  </si>
  <si>
    <t xml:space="preserve">MN</t>
  </si>
  <si>
    <t xml:space="preserve">Minneapolis city, Minnesota</t>
  </si>
  <si>
    <t xml:space="preserve">Bakersfield</t>
  </si>
  <si>
    <t xml:space="preserve">Bakersfield city, California</t>
  </si>
  <si>
    <t xml:space="preserve">Tulsa city, Oklahoma</t>
  </si>
  <si>
    <t xml:space="preserve">Tampa city, Florida</t>
  </si>
  <si>
    <t xml:space="preserve">Arlington</t>
  </si>
  <si>
    <t xml:space="preserve">Arlington city, Texas</t>
  </si>
  <si>
    <t xml:space="preserve">Aurora</t>
  </si>
  <si>
    <t xml:space="preserve">Aurora city, Colorado</t>
  </si>
  <si>
    <t xml:space="preserve">Wichita</t>
  </si>
  <si>
    <t xml:space="preserve">KS</t>
  </si>
  <si>
    <t xml:space="preserve">Wichita city, Kansas</t>
  </si>
  <si>
    <t xml:space="preserve">Cleveland</t>
  </si>
  <si>
    <t xml:space="preserve">Cleveland city, Ohio</t>
  </si>
  <si>
    <t xml:space="preserve">New Orleans</t>
  </si>
  <si>
    <t xml:space="preserve">LA</t>
  </si>
  <si>
    <t xml:space="preserve">New Orleans city, Louisiana</t>
  </si>
  <si>
    <t xml:space="preserve">Henderson</t>
  </si>
  <si>
    <t xml:space="preserve">Henderson city, Nevada</t>
  </si>
  <si>
    <t xml:space="preserve">Urban Honolulu</t>
  </si>
  <si>
    <t xml:space="preserve">HI</t>
  </si>
  <si>
    <t xml:space="preserve">Urban Honolulu CDP, Hawaii</t>
  </si>
  <si>
    <t xml:space="preserve">Anaheim</t>
  </si>
  <si>
    <t xml:space="preserve">Anaheim city, California</t>
  </si>
  <si>
    <t xml:space="preserve">Orlando</t>
  </si>
  <si>
    <t xml:space="preserve">Orlando city, Florida</t>
  </si>
  <si>
    <t xml:space="preserve">Lexington</t>
  </si>
  <si>
    <t xml:space="preserve">Lexington-Fayette urban county, Kentucky</t>
  </si>
  <si>
    <t xml:space="preserve">Stockton</t>
  </si>
  <si>
    <t xml:space="preserve">Stockton city, California</t>
  </si>
  <si>
    <t xml:space="preserve">Riverside</t>
  </si>
  <si>
    <t xml:space="preserve">Riverside city, California</t>
  </si>
  <si>
    <t xml:space="preserve">Irvine</t>
  </si>
  <si>
    <t xml:space="preserve">Irvine city, California</t>
  </si>
  <si>
    <t xml:space="preserve">Corpus Christi</t>
  </si>
  <si>
    <t xml:space="preserve">Corpus Christi city, Texas</t>
  </si>
  <si>
    <t xml:space="preserve">Newark</t>
  </si>
  <si>
    <t xml:space="preserve">NJ</t>
  </si>
  <si>
    <t xml:space="preserve">Newark city, New Jersey</t>
  </si>
  <si>
    <t xml:space="preserve">Santa Ana</t>
  </si>
  <si>
    <t xml:space="preserve">Santa Ana city, California</t>
  </si>
  <si>
    <t xml:space="preserve">Cincinnati</t>
  </si>
  <si>
    <t xml:space="preserve">Cincinnati city, Ohio</t>
  </si>
  <si>
    <t xml:space="preserve">Pittsburgh</t>
  </si>
  <si>
    <t xml:space="preserve">Pittsburgh city, Pennsylvania</t>
  </si>
  <si>
    <t xml:space="preserve">St. Paul</t>
  </si>
  <si>
    <t xml:space="preserve">St. Paul city, Minnesota</t>
  </si>
  <si>
    <t xml:space="preserve">Greensboro</t>
  </si>
  <si>
    <t xml:space="preserve">Greensboro city, North Carolina</t>
  </si>
  <si>
    <t xml:space="preserve">Jersey City</t>
  </si>
  <si>
    <t xml:space="preserve">Jersey City city, New Jersey</t>
  </si>
  <si>
    <t xml:space="preserve">Durham</t>
  </si>
  <si>
    <t xml:space="preserve">Durham city, North Carolina</t>
  </si>
  <si>
    <t xml:space="preserve">Lincoln</t>
  </si>
  <si>
    <t xml:space="preserve">Lincoln city, Nebraska</t>
  </si>
  <si>
    <t xml:space="preserve">North Las Vegas</t>
  </si>
  <si>
    <t xml:space="preserve">North Las Vegas city, Nevada</t>
  </si>
  <si>
    <t xml:space="preserve">Plano city, Texas</t>
  </si>
  <si>
    <t xml:space="preserve">Anchorage</t>
  </si>
  <si>
    <t xml:space="preserve">AK</t>
  </si>
  <si>
    <t xml:space="preserve">Anchorage municipality, Alaska</t>
  </si>
  <si>
    <t xml:space="preserve">Gilbert</t>
  </si>
  <si>
    <t xml:space="preserve">Gilbert town, Arizona</t>
  </si>
  <si>
    <t xml:space="preserve">Madison</t>
  </si>
  <si>
    <t xml:space="preserve">Madison city, Wisconsin</t>
  </si>
  <si>
    <t xml:space="preserve">Reno city, Nevada</t>
  </si>
  <si>
    <t xml:space="preserve">Chandler</t>
  </si>
  <si>
    <t xml:space="preserve">Chandler city, Arizona</t>
  </si>
  <si>
    <t xml:space="preserve">St. Louis</t>
  </si>
  <si>
    <t xml:space="preserve">St. Louis city, Missouri</t>
  </si>
  <si>
    <t xml:space="preserve">Chula Vista</t>
  </si>
  <si>
    <t xml:space="preserve">Chula Vista city, California</t>
  </si>
  <si>
    <t xml:space="preserve">Buffalo</t>
  </si>
  <si>
    <t xml:space="preserve">Buffalo city, New York</t>
  </si>
  <si>
    <t xml:space="preserve">Fort Wayne</t>
  </si>
  <si>
    <t xml:space="preserve">Fort Wayne city, Indiana</t>
  </si>
  <si>
    <t xml:space="preserve">Lubbock</t>
  </si>
  <si>
    <t xml:space="preserve">Lubbock city, Texas</t>
  </si>
  <si>
    <t xml:space="preserve">St. Petersburg</t>
  </si>
  <si>
    <t xml:space="preserve">St. Petersburg city, Florida</t>
  </si>
  <si>
    <t xml:space="preserve">Toledo</t>
  </si>
  <si>
    <t xml:space="preserve">Toledo city, Ohio</t>
  </si>
  <si>
    <t xml:space="preserve">Laredo</t>
  </si>
  <si>
    <t xml:space="preserve">Laredo city, Texas</t>
  </si>
  <si>
    <t xml:space="preserve">Port St. Lucie</t>
  </si>
  <si>
    <t xml:space="preserve">Port St. Lucie city, Florida</t>
  </si>
  <si>
    <t xml:space="preserve">Glendale</t>
  </si>
  <si>
    <t xml:space="preserve">Glendale city, Arizona</t>
  </si>
  <si>
    <t xml:space="preserve">Irving</t>
  </si>
  <si>
    <t xml:space="preserve">Irving city, Texas</t>
  </si>
  <si>
    <t xml:space="preserve">Winston-Salem</t>
  </si>
  <si>
    <t xml:space="preserve">Winston-Salem city, North Carolina</t>
  </si>
  <si>
    <t xml:space="preserve">Chesapeake</t>
  </si>
  <si>
    <t xml:space="preserve">Chesapeake city, Virginia</t>
  </si>
  <si>
    <t xml:space="preserve">Garland</t>
  </si>
  <si>
    <t xml:space="preserve">Garland city, Texas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</si>
</sst>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S109"/>
  <sheetViews>
    <sheetView workbookViewId="0">
      <selection activeCell="A1" sqref="A1"/>
    </sheetView>
  </sheetViews>
  <sheetFormatPr defaultColWidth="8.6796875" defaultRowHeight="15"/>
  <cols>
    <col min="1" max="1" width="26" customWidth="true"/>
    <col min="2" max="94" width="5" customWidth="true"/>
    <col min="95" max="97" width="11" customWidth="true"/>
  </cols>
  <sheetData>
    <row r="1">
      <c r="A1" s="1" t="s">
        <v>0</v>
      </c>
    </row>
    <row r="3">
      <c r="A3" s="2" t="s">
        <v>1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  <c r="Z3" s="3" t="n">
        <v>25</v>
      </c>
      <c r="AA3" s="3" t="n">
        <v>26</v>
      </c>
      <c r="AB3" s="3" t="n">
        <v>27</v>
      </c>
      <c r="AC3" s="3" t="n">
        <v>28</v>
      </c>
      <c r="AD3" s="3" t="n">
        <v>29</v>
      </c>
      <c r="AE3" s="3" t="n">
        <v>30</v>
      </c>
      <c r="AF3" s="3" t="n">
        <v>31</v>
      </c>
      <c r="AG3" s="3" t="n">
        <v>32</v>
      </c>
      <c r="AH3" s="3" t="n">
        <v>33</v>
      </c>
      <c r="AI3" s="3" t="n">
        <v>34</v>
      </c>
      <c r="AJ3" s="3" t="n">
        <v>35</v>
      </c>
      <c r="AK3" s="3" t="n">
        <v>36</v>
      </c>
      <c r="AL3" s="3" t="n">
        <v>37</v>
      </c>
      <c r="AM3" s="3" t="n">
        <v>38</v>
      </c>
      <c r="AN3" s="3" t="n">
        <v>39</v>
      </c>
      <c r="AO3" s="3" t="n">
        <v>40</v>
      </c>
      <c r="AP3" s="3" t="n">
        <v>41</v>
      </c>
      <c r="AQ3" s="3" t="n">
        <v>42</v>
      </c>
      <c r="AR3" s="3" t="n">
        <v>43</v>
      </c>
      <c r="AS3" s="3" t="n">
        <v>44</v>
      </c>
      <c r="AT3" s="3" t="n">
        <v>45</v>
      </c>
      <c r="AU3" s="3" t="n">
        <v>46</v>
      </c>
      <c r="AV3" s="3" t="n">
        <v>47</v>
      </c>
      <c r="AW3" s="3" t="n">
        <v>48</v>
      </c>
      <c r="AX3" s="3" t="n">
        <v>49</v>
      </c>
      <c r="AY3" s="3" t="n">
        <v>50</v>
      </c>
      <c r="AZ3" s="3" t="n">
        <v>51</v>
      </c>
      <c r="BA3" s="3" t="n">
        <v>52</v>
      </c>
      <c r="BB3" s="3" t="n">
        <v>53</v>
      </c>
      <c r="BC3" s="3" t="n">
        <v>54</v>
      </c>
      <c r="BD3" s="3" t="n">
        <v>55</v>
      </c>
      <c r="BE3" s="3" t="n">
        <v>56</v>
      </c>
      <c r="BF3" s="3" t="n">
        <v>57</v>
      </c>
      <c r="BG3" s="3" t="n">
        <v>58</v>
      </c>
      <c r="BH3" s="3" t="n">
        <v>59</v>
      </c>
      <c r="BI3" s="3" t="n">
        <v>60</v>
      </c>
      <c r="BJ3" s="3" t="n">
        <v>61</v>
      </c>
      <c r="BK3" s="3" t="n">
        <v>62</v>
      </c>
      <c r="BL3" s="3" t="n">
        <v>63</v>
      </c>
      <c r="BM3" s="3" t="n">
        <v>64</v>
      </c>
      <c r="BN3" s="3" t="n">
        <v>65</v>
      </c>
      <c r="BO3" s="3" t="n">
        <v>66</v>
      </c>
      <c r="BP3" s="3" t="n">
        <v>67</v>
      </c>
      <c r="BQ3" s="3" t="n">
        <v>68</v>
      </c>
      <c r="BR3" s="3" t="n">
        <v>69</v>
      </c>
      <c r="BS3" s="3" t="n">
        <v>70</v>
      </c>
      <c r="BT3" s="3" t="n">
        <v>71</v>
      </c>
      <c r="BU3" s="3" t="n">
        <v>72</v>
      </c>
      <c r="BV3" s="3" t="n">
        <v>73</v>
      </c>
      <c r="BW3" s="3" t="n">
        <v>74</v>
      </c>
      <c r="BX3" s="3" t="n">
        <v>75</v>
      </c>
      <c r="BY3" s="3" t="n">
        <v>76</v>
      </c>
      <c r="BZ3" s="3" t="n">
        <v>77</v>
      </c>
      <c r="CA3" s="3" t="n">
        <v>78</v>
      </c>
      <c r="CB3" s="3" t="n">
        <v>79</v>
      </c>
      <c r="CC3" s="3" t="n">
        <v>80</v>
      </c>
      <c r="CD3" s="3" t="n">
        <v>81</v>
      </c>
      <c r="CE3" s="3" t="n">
        <v>82</v>
      </c>
      <c r="CF3" s="3" t="n">
        <v>83</v>
      </c>
      <c r="CG3" s="3" t="n">
        <v>84</v>
      </c>
      <c r="CH3" s="3" t="n">
        <v>85</v>
      </c>
      <c r="CI3" s="3" t="n">
        <v>86</v>
      </c>
      <c r="CJ3" s="3" t="n">
        <v>87</v>
      </c>
      <c r="CK3" s="3" t="n">
        <v>88</v>
      </c>
      <c r="CL3" s="3" t="n">
        <v>89</v>
      </c>
      <c r="CM3" s="3" t="n">
        <v>90</v>
      </c>
      <c r="CN3" s="3" t="n">
        <v>91</v>
      </c>
      <c r="CO3" s="3" t="n">
        <v>92</v>
      </c>
      <c r="CP3" s="3" t="n">
        <v>93</v>
      </c>
      <c r="CQ3" s="3" t="s">
        <v>2</v>
      </c>
      <c r="CR3" s="2"/>
      <c r="CS3" s="3" t="s">
        <v>3</v>
      </c>
    </row>
    <row r="4">
      <c r="A4" s="4" t="s">
        <v>4</v>
      </c>
      <c r="B4" s="5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</v>
      </c>
      <c r="X4" s="5" t="n">
        <v>0</v>
      </c>
      <c r="Y4" s="5" t="n">
        <v>0</v>
      </c>
      <c r="Z4" s="5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1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1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1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1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6" t="n">
        <f aca="false">SUMPRODUCT(B4:CP4,$B$98:$CP$98)</f>
        <v>0</v>
      </c>
      <c r="CR4" s="7" t="s">
        <v>5</v>
      </c>
      <c r="CS4" s="5" t="n">
        <v>1</v>
      </c>
    </row>
    <row r="5">
      <c r="A5" s="4" t="s">
        <v>6</v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1</v>
      </c>
      <c r="BE5" s="5" t="n">
        <v>0</v>
      </c>
      <c r="BF5" s="5" t="n">
        <v>1</v>
      </c>
      <c r="BG5" s="5" t="n">
        <v>0</v>
      </c>
      <c r="BH5" s="5" t="n">
        <v>0</v>
      </c>
      <c r="BI5" s="5" t="n">
        <v>0</v>
      </c>
      <c r="BJ5" s="5" t="n">
        <v>1</v>
      </c>
      <c r="BK5" s="5" t="n">
        <v>1</v>
      </c>
      <c r="BL5" s="5" t="n">
        <v>0</v>
      </c>
      <c r="BM5" s="5" t="n">
        <v>0</v>
      </c>
      <c r="BN5" s="5" t="n">
        <v>1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1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1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6" t="n">
        <f aca="false">SUMPRODUCT(B5:CP5,$B$98:$CP$98)</f>
        <v>0</v>
      </c>
      <c r="CR5" s="7" t="s">
        <v>5</v>
      </c>
      <c r="CS5" s="5" t="n">
        <v>1</v>
      </c>
    </row>
    <row r="6">
      <c r="A6" s="4" t="s">
        <v>7</v>
      </c>
      <c r="B6" s="5" t="n">
        <v>0</v>
      </c>
      <c r="C6" s="5" t="n">
        <v>0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1</v>
      </c>
      <c r="Q6" s="5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1</v>
      </c>
      <c r="AB6" s="5" t="n">
        <v>1</v>
      </c>
      <c r="AC6" s="5" t="n">
        <v>0</v>
      </c>
      <c r="AD6" s="5" t="n">
        <v>0</v>
      </c>
      <c r="AE6" s="5" t="n">
        <v>0</v>
      </c>
      <c r="AF6" s="5" t="n">
        <v>1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1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1</v>
      </c>
      <c r="CA6" s="5" t="n">
        <v>0</v>
      </c>
      <c r="CB6" s="5" t="n">
        <v>0</v>
      </c>
      <c r="CC6" s="5" t="n">
        <v>1</v>
      </c>
      <c r="CD6" s="5" t="n">
        <v>0</v>
      </c>
      <c r="CE6" s="5" t="n">
        <v>0</v>
      </c>
      <c r="CF6" s="5" t="n">
        <v>1</v>
      </c>
      <c r="CG6" s="5" t="n">
        <v>0</v>
      </c>
      <c r="CH6" s="5" t="n">
        <v>0</v>
      </c>
      <c r="CI6" s="5" t="n">
        <v>1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6" t="n">
        <f aca="false">SUMPRODUCT(B6:CP6,$B$98:$CP$98)</f>
        <v>0</v>
      </c>
      <c r="CR6" s="7" t="s">
        <v>5</v>
      </c>
      <c r="CS6" s="5" t="n">
        <v>1</v>
      </c>
    </row>
    <row r="7">
      <c r="A7" s="4" t="s">
        <v>8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1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1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1</v>
      </c>
      <c r="CK7" s="5" t="n">
        <v>0</v>
      </c>
      <c r="CL7" s="5" t="n">
        <v>0</v>
      </c>
      <c r="CM7" s="5" t="n">
        <v>1</v>
      </c>
      <c r="CN7" s="5" t="n">
        <v>0</v>
      </c>
      <c r="CO7" s="5" t="n">
        <v>0</v>
      </c>
      <c r="CP7" s="5" t="n">
        <v>1</v>
      </c>
      <c r="CQ7" s="6" t="n">
        <f aca="false">SUMPRODUCT(B7:CP7,$B$98:$CP$98)</f>
        <v>0</v>
      </c>
      <c r="CR7" s="7" t="s">
        <v>5</v>
      </c>
      <c r="CS7" s="5" t="n">
        <v>1</v>
      </c>
    </row>
    <row r="8">
      <c r="A8" s="4" t="s">
        <v>9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1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1</v>
      </c>
      <c r="AI8" s="5" t="n">
        <v>0</v>
      </c>
      <c r="AJ8" s="5" t="n">
        <v>0</v>
      </c>
      <c r="AK8" s="5" t="n">
        <v>0</v>
      </c>
      <c r="AL8" s="5" t="n">
        <v>1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1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1</v>
      </c>
      <c r="BW8" s="5" t="n">
        <v>0</v>
      </c>
      <c r="BX8" s="5" t="n">
        <v>0</v>
      </c>
      <c r="BY8" s="5" t="n">
        <v>1</v>
      </c>
      <c r="BZ8" s="5" t="n">
        <v>0</v>
      </c>
      <c r="CA8" s="5" t="n">
        <v>0</v>
      </c>
      <c r="CB8" s="5" t="n">
        <v>1</v>
      </c>
      <c r="CC8" s="5" t="n">
        <v>0</v>
      </c>
      <c r="CD8" s="5" t="n">
        <v>1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1</v>
      </c>
      <c r="CM8" s="5" t="n">
        <v>0</v>
      </c>
      <c r="CN8" s="5" t="n">
        <v>0</v>
      </c>
      <c r="CO8" s="5" t="n">
        <v>0</v>
      </c>
      <c r="CP8" s="5" t="n">
        <v>0</v>
      </c>
      <c r="CQ8" s="6" t="n">
        <f aca="false">SUMPRODUCT(B8:CP8,$B$98:$CP$98)</f>
        <v>0</v>
      </c>
      <c r="CR8" s="7" t="s">
        <v>5</v>
      </c>
      <c r="CS8" s="5" t="n">
        <v>1</v>
      </c>
    </row>
    <row r="9">
      <c r="A9" s="4" t="s">
        <v>10</v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1</v>
      </c>
      <c r="BN9" s="5" t="n">
        <v>0</v>
      </c>
      <c r="BO9" s="5" t="n">
        <v>0</v>
      </c>
      <c r="BP9" s="5" t="n">
        <v>1</v>
      </c>
      <c r="BQ9" s="5" t="n">
        <v>0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1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1</v>
      </c>
      <c r="CP9" s="5" t="n">
        <v>0</v>
      </c>
      <c r="CQ9" s="6" t="n">
        <f aca="false">SUMPRODUCT(B9:CP9,$B$98:$CP$98)</f>
        <v>0</v>
      </c>
      <c r="CR9" s="7" t="s">
        <v>5</v>
      </c>
      <c r="CS9" s="5" t="n">
        <v>1</v>
      </c>
    </row>
    <row r="10">
      <c r="A10" s="4" t="s">
        <v>11</v>
      </c>
      <c r="B10" s="5" t="n">
        <v>0</v>
      </c>
      <c r="C10" s="5" t="n">
        <v>0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1</v>
      </c>
      <c r="K10" s="5" t="n">
        <v>0</v>
      </c>
      <c r="L10" s="5" t="n">
        <v>1</v>
      </c>
      <c r="M10" s="5" t="n">
        <v>0</v>
      </c>
      <c r="N10" s="5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1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1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1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1</v>
      </c>
      <c r="CK10" s="5" t="n">
        <v>0</v>
      </c>
      <c r="CL10" s="5" t="n">
        <v>0</v>
      </c>
      <c r="CM10" s="5" t="n">
        <v>1</v>
      </c>
      <c r="CN10" s="5" t="n">
        <v>0</v>
      </c>
      <c r="CO10" s="5" t="n">
        <v>0</v>
      </c>
      <c r="CP10" s="5" t="n">
        <v>1</v>
      </c>
      <c r="CQ10" s="6" t="n">
        <f aca="false">SUMPRODUCT(B10:CP10,$B$98:$CP$98)</f>
        <v>0</v>
      </c>
      <c r="CR10" s="7" t="s">
        <v>5</v>
      </c>
      <c r="CS10" s="5" t="n">
        <v>1</v>
      </c>
    </row>
    <row r="11">
      <c r="A11" s="4" t="s">
        <v>12</v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1</v>
      </c>
      <c r="BE11" s="5" t="n">
        <v>0</v>
      </c>
      <c r="BF11" s="5" t="n">
        <v>1</v>
      </c>
      <c r="BG11" s="5" t="n">
        <v>0</v>
      </c>
      <c r="BH11" s="5" t="n">
        <v>0</v>
      </c>
      <c r="BI11" s="5" t="n">
        <v>0</v>
      </c>
      <c r="BJ11" s="5" t="n">
        <v>1</v>
      </c>
      <c r="BK11" s="5" t="n">
        <v>1</v>
      </c>
      <c r="BL11" s="5" t="n">
        <v>0</v>
      </c>
      <c r="BM11" s="5" t="n">
        <v>0</v>
      </c>
      <c r="BN11" s="5" t="n">
        <v>1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1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1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</v>
      </c>
      <c r="CM11" s="5" t="n">
        <v>0</v>
      </c>
      <c r="CN11" s="5" t="n">
        <v>0</v>
      </c>
      <c r="CO11" s="5" t="n">
        <v>0</v>
      </c>
      <c r="CP11" s="5" t="n">
        <v>0</v>
      </c>
      <c r="CQ11" s="6" t="n">
        <f aca="false">SUMPRODUCT(B11:CP11,$B$98:$CP$98)</f>
        <v>0</v>
      </c>
      <c r="CR11" s="7" t="s">
        <v>5</v>
      </c>
      <c r="CS11" s="5" t="n">
        <v>1</v>
      </c>
    </row>
    <row r="12">
      <c r="A12" s="4" t="s">
        <v>13</v>
      </c>
      <c r="B12" s="5" t="n">
        <v>0</v>
      </c>
      <c r="C12" s="5" t="n">
        <v>0</v>
      </c>
      <c r="D12" s="5" t="n">
        <v>0</v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0</v>
      </c>
      <c r="J12" s="5" t="n">
        <v>1</v>
      </c>
      <c r="K12" s="5" t="n">
        <v>0</v>
      </c>
      <c r="L12" s="5" t="n">
        <v>1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1</v>
      </c>
      <c r="AX12" s="5" t="n">
        <v>0</v>
      </c>
      <c r="AY12" s="5" t="n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1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1</v>
      </c>
      <c r="CN12" s="5" t="n">
        <v>0</v>
      </c>
      <c r="CO12" s="5" t="n">
        <v>0</v>
      </c>
      <c r="CP12" s="5" t="n">
        <v>1</v>
      </c>
      <c r="CQ12" s="6" t="n">
        <f aca="false">SUMPRODUCT(B12:CP12,$B$98:$CP$98)</f>
        <v>0</v>
      </c>
      <c r="CR12" s="7" t="s">
        <v>5</v>
      </c>
      <c r="CS12" s="5" t="n">
        <v>1</v>
      </c>
    </row>
    <row r="13">
      <c r="A13" s="4" t="s">
        <v>14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1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1</v>
      </c>
      <c r="CI13" s="5" t="n">
        <v>0</v>
      </c>
      <c r="CJ13" s="5" t="n">
        <v>0</v>
      </c>
      <c r="CK13" s="5" t="n">
        <v>1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6" t="n">
        <f aca="false">SUMPRODUCT(B13:CP13,$B$98:$CP$98)</f>
        <v>0</v>
      </c>
      <c r="CR13" s="7" t="s">
        <v>5</v>
      </c>
      <c r="CS13" s="5" t="n">
        <v>1</v>
      </c>
    </row>
    <row r="14">
      <c r="A14" s="4" t="s">
        <v>15</v>
      </c>
      <c r="B14" s="5" t="n">
        <v>0</v>
      </c>
      <c r="C14" s="5" t="n">
        <v>0</v>
      </c>
      <c r="D14" s="5" t="n">
        <v>0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0</v>
      </c>
      <c r="J14" s="5" t="n">
        <v>1</v>
      </c>
      <c r="K14" s="5" t="n">
        <v>0</v>
      </c>
      <c r="L14" s="5" t="n">
        <v>1</v>
      </c>
      <c r="M14" s="5" t="n">
        <v>0</v>
      </c>
      <c r="N14" s="5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1</v>
      </c>
      <c r="AX14" s="5" t="n">
        <v>0</v>
      </c>
      <c r="AY14" s="5" t="n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1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1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1</v>
      </c>
      <c r="CN14" s="5" t="n">
        <v>0</v>
      </c>
      <c r="CO14" s="5" t="n">
        <v>0</v>
      </c>
      <c r="CP14" s="5" t="n">
        <v>1</v>
      </c>
      <c r="CQ14" s="6" t="n">
        <f aca="false">SUMPRODUCT(B14:CP14,$B$98:$CP$98)</f>
        <v>0</v>
      </c>
      <c r="CR14" s="7" t="s">
        <v>5</v>
      </c>
      <c r="CS14" s="5" t="n">
        <v>1</v>
      </c>
    </row>
    <row r="15">
      <c r="A15" s="4" t="s">
        <v>16</v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1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1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6" t="n">
        <f aca="false">SUMPRODUCT(B15:CP15,$B$98:$CP$98)</f>
        <v>0</v>
      </c>
      <c r="CR15" s="7" t="s">
        <v>5</v>
      </c>
      <c r="CS15" s="5" t="n">
        <v>1</v>
      </c>
    </row>
    <row r="16">
      <c r="A16" s="4" t="s">
        <v>17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1</v>
      </c>
      <c r="K16" s="5" t="n">
        <v>0</v>
      </c>
      <c r="L16" s="5" t="n">
        <v>1</v>
      </c>
      <c r="M16" s="5" t="n">
        <v>0</v>
      </c>
      <c r="N16" s="5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1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1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1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1</v>
      </c>
      <c r="CK16" s="5" t="n">
        <v>0</v>
      </c>
      <c r="CL16" s="5" t="n">
        <v>0</v>
      </c>
      <c r="CM16" s="5" t="n">
        <v>1</v>
      </c>
      <c r="CN16" s="5" t="n">
        <v>0</v>
      </c>
      <c r="CO16" s="5" t="n">
        <v>0</v>
      </c>
      <c r="CP16" s="5" t="n">
        <v>1</v>
      </c>
      <c r="CQ16" s="6" t="n">
        <f aca="false">SUMPRODUCT(B16:CP16,$B$98:$CP$98)</f>
        <v>0</v>
      </c>
      <c r="CR16" s="7" t="s">
        <v>5</v>
      </c>
      <c r="CS16" s="5" t="n">
        <v>1</v>
      </c>
    </row>
    <row r="17">
      <c r="A17" s="4" t="s">
        <v>18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1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1</v>
      </c>
      <c r="BS17" s="5" t="n">
        <v>0</v>
      </c>
      <c r="BT17" s="5" t="n">
        <v>1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1</v>
      </c>
      <c r="CO17" s="5" t="n">
        <v>1</v>
      </c>
      <c r="CP17" s="5" t="n">
        <v>0</v>
      </c>
      <c r="CQ17" s="6" t="n">
        <f aca="false">SUMPRODUCT(B17:CP17,$B$98:$CP$98)</f>
        <v>0</v>
      </c>
      <c r="CR17" s="7" t="s">
        <v>5</v>
      </c>
      <c r="CS17" s="5" t="n">
        <v>1</v>
      </c>
    </row>
    <row r="18">
      <c r="A18" s="4" t="s">
        <v>19</v>
      </c>
      <c r="B18" s="5" t="n">
        <v>0</v>
      </c>
      <c r="C18" s="5" t="n">
        <v>0</v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1</v>
      </c>
      <c r="AB18" s="5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1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1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1</v>
      </c>
      <c r="BP18" s="5" t="n">
        <v>1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1</v>
      </c>
      <c r="CF18" s="5" t="n">
        <v>1</v>
      </c>
      <c r="CG18" s="5" t="n">
        <v>0</v>
      </c>
      <c r="CH18" s="5" t="n">
        <v>0</v>
      </c>
      <c r="CI18" s="5" t="n">
        <v>1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6" t="n">
        <f aca="false">SUMPRODUCT(B18:CP18,$B$98:$CP$98)</f>
        <v>0</v>
      </c>
      <c r="CR18" s="7" t="s">
        <v>5</v>
      </c>
      <c r="CS18" s="5" t="n">
        <v>1</v>
      </c>
    </row>
    <row r="19">
      <c r="A19" s="4" t="s">
        <v>20</v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1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1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1</v>
      </c>
      <c r="CA19" s="5" t="n">
        <v>0</v>
      </c>
      <c r="CB19" s="5" t="n">
        <v>0</v>
      </c>
      <c r="CC19" s="5" t="n">
        <v>1</v>
      </c>
      <c r="CD19" s="5" t="n">
        <v>0</v>
      </c>
      <c r="CE19" s="5" t="n">
        <v>0</v>
      </c>
      <c r="CF19" s="5" t="n">
        <v>1</v>
      </c>
      <c r="CG19" s="5" t="n">
        <v>0</v>
      </c>
      <c r="CH19" s="5" t="n">
        <v>0</v>
      </c>
      <c r="CI19" s="5" t="n">
        <v>1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6" t="n">
        <f aca="false">SUMPRODUCT(B19:CP19,$B$98:$CP$98)</f>
        <v>0</v>
      </c>
      <c r="CR19" s="7" t="s">
        <v>5</v>
      </c>
      <c r="CS19" s="5" t="n">
        <v>1</v>
      </c>
    </row>
    <row r="20">
      <c r="A20" s="4" t="s">
        <v>21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1</v>
      </c>
      <c r="AJ20" s="5" t="n">
        <v>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1</v>
      </c>
      <c r="AU20" s="5" t="n">
        <v>0</v>
      </c>
      <c r="AV20" s="5" t="n">
        <v>1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1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1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6" t="n">
        <f aca="false">SUMPRODUCT(B20:CP20,$B$98:$CP$98)</f>
        <v>0</v>
      </c>
      <c r="CR20" s="7" t="s">
        <v>5</v>
      </c>
      <c r="CS20" s="5" t="n">
        <v>1</v>
      </c>
    </row>
    <row r="21">
      <c r="A21" s="4" t="s">
        <v>22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6" t="n">
        <f aca="false">SUMPRODUCT(B21:CP21,$B$98:$CP$98)</f>
        <v>0</v>
      </c>
      <c r="CR21" s="7" t="s">
        <v>5</v>
      </c>
      <c r="CS21" s="5" t="n">
        <v>1</v>
      </c>
    </row>
    <row r="22">
      <c r="A22" s="4" t="s">
        <v>23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1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1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6" t="n">
        <f aca="false">SUMPRODUCT(B22:CP22,$B$98:$CP$98)</f>
        <v>0</v>
      </c>
      <c r="CR22" s="7" t="s">
        <v>5</v>
      </c>
      <c r="CS22" s="5" t="n">
        <v>1</v>
      </c>
    </row>
    <row r="23">
      <c r="A23" s="4" t="s">
        <v>24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1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1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1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1</v>
      </c>
      <c r="CN23" s="5" t="n">
        <v>0</v>
      </c>
      <c r="CO23" s="5" t="n">
        <v>0</v>
      </c>
      <c r="CP23" s="5" t="n">
        <v>1</v>
      </c>
      <c r="CQ23" s="6" t="n">
        <f aca="false">SUMPRODUCT(B23:CP23,$B$98:$CP$98)</f>
        <v>0</v>
      </c>
      <c r="CR23" s="7" t="s">
        <v>5</v>
      </c>
      <c r="CS23" s="5" t="n">
        <v>1</v>
      </c>
    </row>
    <row r="24">
      <c r="A24" s="4" t="s">
        <v>25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1</v>
      </c>
      <c r="AC24" s="5" t="n">
        <v>0</v>
      </c>
      <c r="AD24" s="5" t="n">
        <v>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1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1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1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1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6" t="n">
        <f aca="false">SUMPRODUCT(B24:CP24,$B$98:$CP$98)</f>
        <v>0</v>
      </c>
      <c r="CR24" s="7" t="s">
        <v>5</v>
      </c>
      <c r="CS24" s="5" t="n">
        <v>1</v>
      </c>
    </row>
    <row r="25">
      <c r="A25" s="4" t="s">
        <v>26</v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1</v>
      </c>
      <c r="BN25" s="5" t="n">
        <v>0</v>
      </c>
      <c r="BO25" s="5" t="n">
        <v>0</v>
      </c>
      <c r="BP25" s="5" t="n">
        <v>1</v>
      </c>
      <c r="BQ25" s="5" t="n">
        <v>0</v>
      </c>
      <c r="BR25" s="5" t="n">
        <v>1</v>
      </c>
      <c r="BS25" s="5" t="n">
        <v>1</v>
      </c>
      <c r="BT25" s="5" t="n">
        <v>1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1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1</v>
      </c>
      <c r="CO25" s="5" t="n">
        <v>1</v>
      </c>
      <c r="CP25" s="5" t="n">
        <v>0</v>
      </c>
      <c r="CQ25" s="6" t="n">
        <f aca="false">SUMPRODUCT(B25:CP25,$B$98:$CP$98)</f>
        <v>0</v>
      </c>
      <c r="CR25" s="7" t="s">
        <v>5</v>
      </c>
      <c r="CS25" s="5" t="n">
        <v>1</v>
      </c>
    </row>
    <row r="26">
      <c r="A26" s="4" t="s">
        <v>27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1</v>
      </c>
      <c r="AH26" s="5" t="n">
        <v>1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1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6" t="n">
        <f aca="false">SUMPRODUCT(B26:CP26,$B$98:$CP$98)</f>
        <v>0</v>
      </c>
      <c r="CR26" s="7" t="s">
        <v>5</v>
      </c>
      <c r="CS26" s="5" t="n">
        <v>1</v>
      </c>
    </row>
    <row r="27">
      <c r="A27" s="4" t="s">
        <v>28</v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1</v>
      </c>
      <c r="BE27" s="5" t="n">
        <v>0</v>
      </c>
      <c r="BF27" s="5" t="n">
        <v>1</v>
      </c>
      <c r="BG27" s="5" t="n">
        <v>0</v>
      </c>
      <c r="BH27" s="5" t="n">
        <v>0</v>
      </c>
      <c r="BI27" s="5" t="n">
        <v>0</v>
      </c>
      <c r="BJ27" s="5" t="n">
        <v>1</v>
      </c>
      <c r="BK27" s="5" t="n">
        <v>1</v>
      </c>
      <c r="BL27" s="5" t="n">
        <v>0</v>
      </c>
      <c r="BM27" s="5" t="n">
        <v>0</v>
      </c>
      <c r="BN27" s="5" t="n">
        <v>1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1</v>
      </c>
      <c r="BW27" s="5" t="n">
        <v>0</v>
      </c>
      <c r="BX27" s="5" t="n">
        <v>0</v>
      </c>
      <c r="BY27" s="5" t="n">
        <v>1</v>
      </c>
      <c r="BZ27" s="5" t="n">
        <v>0</v>
      </c>
      <c r="CA27" s="5" t="n">
        <v>0</v>
      </c>
      <c r="CB27" s="5" t="n">
        <v>1</v>
      </c>
      <c r="CC27" s="5" t="n">
        <v>0</v>
      </c>
      <c r="CD27" s="5" t="n">
        <v>1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1</v>
      </c>
      <c r="CM27" s="5" t="n">
        <v>0</v>
      </c>
      <c r="CN27" s="5" t="n">
        <v>0</v>
      </c>
      <c r="CO27" s="5" t="n">
        <v>0</v>
      </c>
      <c r="CP27" s="5" t="n">
        <v>0</v>
      </c>
      <c r="CQ27" s="6" t="n">
        <f aca="false">SUMPRODUCT(B27:CP27,$B$98:$CP$98)</f>
        <v>0</v>
      </c>
      <c r="CR27" s="7" t="s">
        <v>5</v>
      </c>
      <c r="CS27" s="5" t="n">
        <v>1</v>
      </c>
    </row>
    <row r="28">
      <c r="A28" s="4" t="s">
        <v>29</v>
      </c>
      <c r="B28" s="5" t="n">
        <v>1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1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1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6" t="n">
        <f aca="false">SUMPRODUCT(B28:CP28,$B$98:$CP$98)</f>
        <v>0</v>
      </c>
      <c r="CR28" s="7" t="s">
        <v>5</v>
      </c>
      <c r="CS28" s="5" t="n">
        <v>1</v>
      </c>
    </row>
    <row r="29">
      <c r="A29" s="4" t="s">
        <v>30</v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1</v>
      </c>
      <c r="BP29" s="5" t="n">
        <v>1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1</v>
      </c>
      <c r="CF29" s="5" t="n">
        <v>1</v>
      </c>
      <c r="CG29" s="5" t="n">
        <v>0</v>
      </c>
      <c r="CH29" s="5" t="n">
        <v>0</v>
      </c>
      <c r="CI29" s="5" t="n">
        <v>1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6" t="n">
        <f aca="false">SUMPRODUCT(B29:CP29,$B$98:$CP$98)</f>
        <v>0</v>
      </c>
      <c r="CR29" s="7" t="s">
        <v>5</v>
      </c>
      <c r="CS29" s="5" t="n">
        <v>1</v>
      </c>
    </row>
    <row r="30">
      <c r="A30" s="4" t="s">
        <v>31</v>
      </c>
      <c r="B30" s="5" t="n">
        <v>0</v>
      </c>
      <c r="C30" s="5" t="n">
        <v>0</v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1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1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1</v>
      </c>
      <c r="CD30" s="5" t="n">
        <v>0</v>
      </c>
      <c r="CE30" s="5" t="n">
        <v>0</v>
      </c>
      <c r="CF30" s="5" t="n">
        <v>1</v>
      </c>
      <c r="CG30" s="5" t="n">
        <v>0</v>
      </c>
      <c r="CH30" s="5" t="n">
        <v>0</v>
      </c>
      <c r="CI30" s="5" t="n">
        <v>1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6" t="n">
        <f aca="false">SUMPRODUCT(B30:CP30,$B$98:$CP$98)</f>
        <v>0</v>
      </c>
      <c r="CR30" s="7" t="s">
        <v>5</v>
      </c>
      <c r="CS30" s="5" t="n">
        <v>1</v>
      </c>
    </row>
    <row r="31">
      <c r="A31" s="4" t="s">
        <v>32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6" t="n">
        <f aca="false">SUMPRODUCT(B31:CP31,$B$98:$CP$98)</f>
        <v>0</v>
      </c>
      <c r="CR31" s="7" t="s">
        <v>5</v>
      </c>
      <c r="CS31" s="5" t="n">
        <v>1</v>
      </c>
    </row>
    <row r="32">
      <c r="A32" s="4" t="s">
        <v>33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1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6" t="n">
        <f aca="false">SUMPRODUCT(B32:CP32,$B$98:$CP$98)</f>
        <v>0</v>
      </c>
      <c r="CR32" s="7" t="s">
        <v>5</v>
      </c>
      <c r="CS32" s="5" t="n">
        <v>1</v>
      </c>
    </row>
    <row r="33">
      <c r="A33" s="4" t="s">
        <v>34</v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1</v>
      </c>
      <c r="BN33" s="5" t="n">
        <v>0</v>
      </c>
      <c r="BO33" s="5" t="n">
        <v>0</v>
      </c>
      <c r="BP33" s="5" t="n">
        <v>1</v>
      </c>
      <c r="BQ33" s="5" t="n">
        <v>0</v>
      </c>
      <c r="BR33" s="5" t="n">
        <v>1</v>
      </c>
      <c r="BS33" s="5" t="n">
        <v>1</v>
      </c>
      <c r="BT33" s="5" t="n">
        <v>1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1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1</v>
      </c>
      <c r="CO33" s="5" t="n">
        <v>1</v>
      </c>
      <c r="CP33" s="5" t="n">
        <v>0</v>
      </c>
      <c r="CQ33" s="6" t="n">
        <f aca="false">SUMPRODUCT(B33:CP33,$B$98:$CP$98)</f>
        <v>0</v>
      </c>
      <c r="CR33" s="7" t="s">
        <v>5</v>
      </c>
      <c r="CS33" s="5" t="n">
        <v>1</v>
      </c>
    </row>
    <row r="34">
      <c r="A34" s="4" t="s">
        <v>35</v>
      </c>
      <c r="B34" s="5" t="n">
        <v>0</v>
      </c>
      <c r="C34" s="5" t="n">
        <v>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1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1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1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1</v>
      </c>
      <c r="CG34" s="5" t="n">
        <v>0</v>
      </c>
      <c r="CH34" s="5" t="n">
        <v>0</v>
      </c>
      <c r="CI34" s="5" t="n">
        <v>1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6" t="n">
        <f aca="false">SUMPRODUCT(B34:CP34,$B$98:$CP$98)</f>
        <v>0</v>
      </c>
      <c r="CR34" s="7" t="s">
        <v>5</v>
      </c>
      <c r="CS34" s="5" t="n">
        <v>1</v>
      </c>
    </row>
    <row r="35">
      <c r="A35" s="4" t="s">
        <v>36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1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6" t="n">
        <f aca="false">SUMPRODUCT(B35:CP35,$B$98:$CP$98)</f>
        <v>0</v>
      </c>
      <c r="CR35" s="7" t="s">
        <v>5</v>
      </c>
      <c r="CS35" s="5" t="n">
        <v>1</v>
      </c>
    </row>
    <row r="36">
      <c r="A36" s="4" t="s">
        <v>37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1</v>
      </c>
      <c r="AI36" s="5" t="n">
        <v>0</v>
      </c>
      <c r="AJ36" s="5" t="n">
        <v>0</v>
      </c>
      <c r="AK36" s="5" t="n">
        <v>0</v>
      </c>
      <c r="AL36" s="5" t="n">
        <v>1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1</v>
      </c>
      <c r="BZ36" s="5" t="n">
        <v>0</v>
      </c>
      <c r="CA36" s="5" t="n">
        <v>0</v>
      </c>
      <c r="CB36" s="5" t="n">
        <v>1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1</v>
      </c>
      <c r="CM36" s="5" t="n">
        <v>0</v>
      </c>
      <c r="CN36" s="5" t="n">
        <v>0</v>
      </c>
      <c r="CO36" s="5" t="n">
        <v>0</v>
      </c>
      <c r="CP36" s="5" t="n">
        <v>0</v>
      </c>
      <c r="CQ36" s="6" t="n">
        <f aca="false">SUMPRODUCT(B36:CP36,$B$98:$CP$98)</f>
        <v>0</v>
      </c>
      <c r="CR36" s="7" t="s">
        <v>5</v>
      </c>
      <c r="CS36" s="5" t="n">
        <v>1</v>
      </c>
    </row>
    <row r="37">
      <c r="A37" s="4" t="s">
        <v>38</v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1</v>
      </c>
      <c r="BE37" s="5" t="n">
        <v>0</v>
      </c>
      <c r="BF37" s="5" t="n">
        <v>1</v>
      </c>
      <c r="BG37" s="5" t="n">
        <v>0</v>
      </c>
      <c r="BH37" s="5" t="n">
        <v>0</v>
      </c>
      <c r="BI37" s="5" t="n">
        <v>1</v>
      </c>
      <c r="BJ37" s="5" t="n">
        <v>1</v>
      </c>
      <c r="BK37" s="5" t="n">
        <v>1</v>
      </c>
      <c r="BL37" s="5" t="n">
        <v>0</v>
      </c>
      <c r="BM37" s="5" t="n">
        <v>0</v>
      </c>
      <c r="BN37" s="5" t="n">
        <v>1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1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1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6" t="n">
        <f aca="false">SUMPRODUCT(B37:CP37,$B$98:$CP$98)</f>
        <v>0</v>
      </c>
      <c r="CR37" s="7" t="s">
        <v>5</v>
      </c>
      <c r="CS37" s="5" t="n">
        <v>1</v>
      </c>
    </row>
    <row r="38">
      <c r="A38" s="4" t="s">
        <v>39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1</v>
      </c>
      <c r="AJ38" s="5" t="n">
        <v>1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1</v>
      </c>
      <c r="AU38" s="5" t="n">
        <v>0</v>
      </c>
      <c r="AV38" s="5" t="n">
        <v>1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1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1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6" t="n">
        <f aca="false">SUMPRODUCT(B38:CP38,$B$98:$CP$98)</f>
        <v>0</v>
      </c>
      <c r="CR38" s="7" t="s">
        <v>5</v>
      </c>
      <c r="CS38" s="5" t="n">
        <v>1</v>
      </c>
    </row>
    <row r="39">
      <c r="A39" s="4" t="s">
        <v>40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1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1</v>
      </c>
      <c r="CO39" s="5" t="n">
        <v>0</v>
      </c>
      <c r="CP39" s="5" t="n">
        <v>0</v>
      </c>
      <c r="CQ39" s="6" t="n">
        <f aca="false">SUMPRODUCT(B39:CP39,$B$98:$CP$98)</f>
        <v>0</v>
      </c>
      <c r="CR39" s="7" t="s">
        <v>5</v>
      </c>
      <c r="CS39" s="5" t="n">
        <v>1</v>
      </c>
    </row>
    <row r="40">
      <c r="A40" s="4" t="s">
        <v>41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1</v>
      </c>
      <c r="AI40" s="5" t="n">
        <v>0</v>
      </c>
      <c r="AJ40" s="5" t="n">
        <v>0</v>
      </c>
      <c r="AK40" s="5" t="n">
        <v>0</v>
      </c>
      <c r="AL40" s="5" t="n">
        <v>1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1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1</v>
      </c>
      <c r="BW40" s="5" t="n">
        <v>0</v>
      </c>
      <c r="BX40" s="5" t="n">
        <v>0</v>
      </c>
      <c r="BY40" s="5" t="n">
        <v>1</v>
      </c>
      <c r="BZ40" s="5" t="n">
        <v>0</v>
      </c>
      <c r="CA40" s="5" t="n">
        <v>0</v>
      </c>
      <c r="CB40" s="5" t="n">
        <v>1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1</v>
      </c>
      <c r="CM40" s="5" t="n">
        <v>0</v>
      </c>
      <c r="CN40" s="5" t="n">
        <v>0</v>
      </c>
      <c r="CO40" s="5" t="n">
        <v>0</v>
      </c>
      <c r="CP40" s="5" t="n">
        <v>0</v>
      </c>
      <c r="CQ40" s="6" t="n">
        <f aca="false">SUMPRODUCT(B40:CP40,$B$98:$CP$98)</f>
        <v>0</v>
      </c>
      <c r="CR40" s="7" t="s">
        <v>5</v>
      </c>
      <c r="CS40" s="5" t="n">
        <v>1</v>
      </c>
    </row>
    <row r="41">
      <c r="A41" s="4" t="s">
        <v>42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1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1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6" t="n">
        <f aca="false">SUMPRODUCT(B41:CP41,$B$98:$CP$98)</f>
        <v>0</v>
      </c>
      <c r="CR41" s="7" t="s">
        <v>5</v>
      </c>
      <c r="CS41" s="5" t="n">
        <v>1</v>
      </c>
    </row>
    <row r="42">
      <c r="A42" s="4" t="s">
        <v>43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1</v>
      </c>
      <c r="AO42" s="5" t="n">
        <v>0</v>
      </c>
      <c r="AP42" s="5" t="n">
        <v>0</v>
      </c>
      <c r="AQ42" s="5" t="n">
        <v>0</v>
      </c>
      <c r="AR42" s="5" t="n">
        <v>1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1</v>
      </c>
      <c r="BS42" s="5" t="n">
        <v>0</v>
      </c>
      <c r="BT42" s="5" t="n">
        <v>1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1</v>
      </c>
      <c r="CO42" s="5" t="n">
        <v>1</v>
      </c>
      <c r="CP42" s="5" t="n">
        <v>0</v>
      </c>
      <c r="CQ42" s="6" t="n">
        <f aca="false">SUMPRODUCT(B42:CP42,$B$98:$CP$98)</f>
        <v>0</v>
      </c>
      <c r="CR42" s="7" t="s">
        <v>5</v>
      </c>
      <c r="CS42" s="5" t="n">
        <v>1</v>
      </c>
    </row>
    <row r="43">
      <c r="A43" s="4" t="s">
        <v>44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6" t="n">
        <f aca="false">SUMPRODUCT(B43:CP43,$B$98:$CP$98)</f>
        <v>0</v>
      </c>
      <c r="CR43" s="7" t="s">
        <v>5</v>
      </c>
      <c r="CS43" s="5" t="n">
        <v>1</v>
      </c>
    </row>
    <row r="44">
      <c r="A44" s="4" t="s">
        <v>45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1</v>
      </c>
      <c r="AN44" s="5" t="n">
        <v>0</v>
      </c>
      <c r="AO44" s="5" t="n">
        <v>0</v>
      </c>
      <c r="AP44" s="5" t="n">
        <v>1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1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1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1</v>
      </c>
      <c r="BR44" s="5" t="n">
        <v>0</v>
      </c>
      <c r="BS44" s="5" t="n">
        <v>0</v>
      </c>
      <c r="BT44" s="5" t="n">
        <v>0</v>
      </c>
      <c r="BU44" s="5" t="n">
        <v>1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6" t="n">
        <f aca="false">SUMPRODUCT(B44:CP44,$B$98:$CP$98)</f>
        <v>0</v>
      </c>
      <c r="CR44" s="7" t="s">
        <v>5</v>
      </c>
      <c r="CS44" s="5" t="n">
        <v>1</v>
      </c>
    </row>
    <row r="45">
      <c r="A45" s="4" t="s">
        <v>46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1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1</v>
      </c>
      <c r="CI45" s="5" t="n">
        <v>0</v>
      </c>
      <c r="CJ45" s="5" t="n">
        <v>0</v>
      </c>
      <c r="CK45" s="5" t="n">
        <v>1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6" t="n">
        <f aca="false">SUMPRODUCT(B45:CP45,$B$98:$CP$98)</f>
        <v>0</v>
      </c>
      <c r="CR45" s="7" t="s">
        <v>5</v>
      </c>
      <c r="CS45" s="5" t="n">
        <v>1</v>
      </c>
    </row>
    <row r="46">
      <c r="A46" s="4" t="s">
        <v>47</v>
      </c>
      <c r="B46" s="5" t="n">
        <v>1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1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1</v>
      </c>
      <c r="AO46" s="5" t="n">
        <v>0</v>
      </c>
      <c r="AP46" s="5" t="n">
        <v>0</v>
      </c>
      <c r="AQ46" s="5" t="n">
        <v>0</v>
      </c>
      <c r="AR46" s="5" t="n">
        <v>1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1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1</v>
      </c>
      <c r="BS46" s="5" t="n">
        <v>1</v>
      </c>
      <c r="BT46" s="5" t="n">
        <v>1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1</v>
      </c>
      <c r="CO46" s="5" t="n">
        <v>1</v>
      </c>
      <c r="CP46" s="5" t="n">
        <v>0</v>
      </c>
      <c r="CQ46" s="6" t="n">
        <f aca="false">SUMPRODUCT(B46:CP46,$B$98:$CP$98)</f>
        <v>0</v>
      </c>
      <c r="CR46" s="7" t="s">
        <v>5</v>
      </c>
      <c r="CS46" s="5" t="n">
        <v>1</v>
      </c>
    </row>
    <row r="47">
      <c r="A47" s="4" t="s">
        <v>48</v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1</v>
      </c>
      <c r="BE47" s="5" t="n">
        <v>0</v>
      </c>
      <c r="BF47" s="5" t="n">
        <v>1</v>
      </c>
      <c r="BG47" s="5" t="n">
        <v>0</v>
      </c>
      <c r="BH47" s="5" t="n">
        <v>0</v>
      </c>
      <c r="BI47" s="5" t="n">
        <v>0</v>
      </c>
      <c r="BJ47" s="5" t="n">
        <v>1</v>
      </c>
      <c r="BK47" s="5" t="n">
        <v>1</v>
      </c>
      <c r="BL47" s="5" t="n">
        <v>0</v>
      </c>
      <c r="BM47" s="5" t="n">
        <v>0</v>
      </c>
      <c r="BN47" s="5" t="n">
        <v>1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1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1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6" t="n">
        <f aca="false">SUMPRODUCT(B47:CP47,$B$98:$CP$98)</f>
        <v>0</v>
      </c>
      <c r="CR47" s="7" t="s">
        <v>5</v>
      </c>
      <c r="CS47" s="5" t="n">
        <v>1</v>
      </c>
    </row>
    <row r="48">
      <c r="A48" s="4" t="s">
        <v>49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1</v>
      </c>
      <c r="AJ48" s="5" t="n">
        <v>1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1</v>
      </c>
      <c r="AU48" s="5" t="n">
        <v>0</v>
      </c>
      <c r="AV48" s="5" t="n">
        <v>1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1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1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6" t="n">
        <f aca="false">SUMPRODUCT(B48:CP48,$B$98:$CP$98)</f>
        <v>0</v>
      </c>
      <c r="CR48" s="7" t="s">
        <v>5</v>
      </c>
      <c r="CS48" s="5" t="n">
        <v>1</v>
      </c>
    </row>
    <row r="49">
      <c r="A49" s="4" t="s">
        <v>50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1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1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6" t="n">
        <f aca="false">SUMPRODUCT(B49:CP49,$B$98:$CP$98)</f>
        <v>0</v>
      </c>
      <c r="CR49" s="7" t="s">
        <v>5</v>
      </c>
      <c r="CS49" s="5" t="n">
        <v>1</v>
      </c>
    </row>
    <row r="50">
      <c r="A50" s="4" t="s">
        <v>51</v>
      </c>
      <c r="B50" s="5" t="n">
        <v>0</v>
      </c>
      <c r="C50" s="5" t="n">
        <v>1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1</v>
      </c>
      <c r="AJ50" s="5" t="n">
        <v>1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1</v>
      </c>
      <c r="AT50" s="5" t="n">
        <v>1</v>
      </c>
      <c r="AU50" s="5" t="n">
        <v>0</v>
      </c>
      <c r="AV50" s="5" t="n">
        <v>1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1</v>
      </c>
      <c r="BE50" s="5" t="n">
        <v>0</v>
      </c>
      <c r="BF50" s="5" t="n">
        <v>1</v>
      </c>
      <c r="BG50" s="5" t="n">
        <v>0</v>
      </c>
      <c r="BH50" s="5" t="n">
        <v>0</v>
      </c>
      <c r="BI50" s="5" t="n">
        <v>1</v>
      </c>
      <c r="BJ50" s="5" t="n">
        <v>1</v>
      </c>
      <c r="BK50" s="5" t="n">
        <v>1</v>
      </c>
      <c r="BL50" s="5" t="n">
        <v>0</v>
      </c>
      <c r="BM50" s="5" t="n">
        <v>0</v>
      </c>
      <c r="BN50" s="5" t="n">
        <v>1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1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1</v>
      </c>
      <c r="CB50" s="5" t="n">
        <v>0</v>
      </c>
      <c r="CC50" s="5" t="n">
        <v>0</v>
      </c>
      <c r="CD50" s="5" t="n">
        <v>1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6" t="n">
        <f aca="false">SUMPRODUCT(B50:CP50,$B$98:$CP$98)</f>
        <v>0</v>
      </c>
      <c r="CR50" s="7" t="s">
        <v>5</v>
      </c>
      <c r="CS50" s="5" t="n">
        <v>1</v>
      </c>
    </row>
    <row r="51">
      <c r="A51" s="4" t="s">
        <v>52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1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1</v>
      </c>
      <c r="AX51" s="5" t="n">
        <v>0</v>
      </c>
      <c r="AY51" s="5" t="n">
        <v>1</v>
      </c>
      <c r="AZ51" s="5" t="n">
        <v>0</v>
      </c>
      <c r="BA51" s="5" t="n">
        <v>1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1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1</v>
      </c>
      <c r="CN51" s="5" t="n">
        <v>0</v>
      </c>
      <c r="CO51" s="5" t="n">
        <v>0</v>
      </c>
      <c r="CP51" s="5" t="n">
        <v>1</v>
      </c>
      <c r="CQ51" s="6" t="n">
        <f aca="false">SUMPRODUCT(B51:CP51,$B$98:$CP$98)</f>
        <v>0</v>
      </c>
      <c r="CR51" s="7" t="s">
        <v>5</v>
      </c>
      <c r="CS51" s="5" t="n">
        <v>1</v>
      </c>
    </row>
    <row r="52">
      <c r="A52" s="4" t="s">
        <v>53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1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1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1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1</v>
      </c>
      <c r="CI52" s="5" t="n">
        <v>0</v>
      </c>
      <c r="CJ52" s="5" t="n">
        <v>0</v>
      </c>
      <c r="CK52" s="5" t="n">
        <v>1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6" t="n">
        <f aca="false">SUMPRODUCT(B52:CP52,$B$98:$CP$98)</f>
        <v>0</v>
      </c>
      <c r="CR52" s="7" t="s">
        <v>5</v>
      </c>
      <c r="CS52" s="5" t="n">
        <v>1</v>
      </c>
    </row>
    <row r="53">
      <c r="A53" s="4" t="s">
        <v>54</v>
      </c>
      <c r="B53" s="5" t="n">
        <v>0</v>
      </c>
      <c r="C53" s="5" t="n">
        <v>0</v>
      </c>
      <c r="D53" s="5" t="n">
        <v>0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1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1</v>
      </c>
      <c r="AX53" s="5" t="n">
        <v>0</v>
      </c>
      <c r="AY53" s="5" t="n">
        <v>1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1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1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1</v>
      </c>
      <c r="CN53" s="5" t="n">
        <v>0</v>
      </c>
      <c r="CO53" s="5" t="n">
        <v>0</v>
      </c>
      <c r="CP53" s="5" t="n">
        <v>1</v>
      </c>
      <c r="CQ53" s="6" t="n">
        <f aca="false">SUMPRODUCT(B53:CP53,$B$98:$CP$98)</f>
        <v>0</v>
      </c>
      <c r="CR53" s="7" t="s">
        <v>5</v>
      </c>
      <c r="CS53" s="5" t="n">
        <v>1</v>
      </c>
    </row>
    <row r="54">
      <c r="A54" s="4" t="s">
        <v>55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1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1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6" t="n">
        <f aca="false">SUMPRODUCT(B54:CP54,$B$98:$CP$98)</f>
        <v>0</v>
      </c>
      <c r="CR54" s="7" t="s">
        <v>5</v>
      </c>
      <c r="CS54" s="5" t="n">
        <v>1</v>
      </c>
    </row>
    <row r="55">
      <c r="A55" s="4" t="s">
        <v>56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1</v>
      </c>
      <c r="AN55" s="5" t="n">
        <v>0</v>
      </c>
      <c r="AO55" s="5" t="n">
        <v>0</v>
      </c>
      <c r="AP55" s="5" t="n">
        <v>1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1</v>
      </c>
      <c r="AX55" s="5" t="n">
        <v>0</v>
      </c>
      <c r="AY55" s="5" t="n">
        <v>0</v>
      </c>
      <c r="AZ55" s="5" t="n">
        <v>0</v>
      </c>
      <c r="BA55" s="5" t="n">
        <v>1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1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6" t="n">
        <f aca="false">SUMPRODUCT(B55:CP55,$B$98:$CP$98)</f>
        <v>0</v>
      </c>
      <c r="CR55" s="7" t="s">
        <v>5</v>
      </c>
      <c r="CS55" s="5" t="n">
        <v>1</v>
      </c>
    </row>
    <row r="56">
      <c r="A56" s="4" t="s">
        <v>57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1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1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1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1</v>
      </c>
      <c r="BP56" s="5" t="n">
        <v>1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1</v>
      </c>
      <c r="CF56" s="5" t="n">
        <v>1</v>
      </c>
      <c r="CG56" s="5" t="n">
        <v>0</v>
      </c>
      <c r="CH56" s="5" t="n">
        <v>0</v>
      </c>
      <c r="CI56" s="5" t="n">
        <v>1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6" t="n">
        <f aca="false">SUMPRODUCT(B56:CP56,$B$98:$CP$98)</f>
        <v>0</v>
      </c>
      <c r="CR56" s="7" t="s">
        <v>5</v>
      </c>
      <c r="CS56" s="5" t="n">
        <v>1</v>
      </c>
    </row>
    <row r="57">
      <c r="A57" s="4" t="s">
        <v>58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1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6" t="n">
        <f aca="false">SUMPRODUCT(B57:CP57,$B$98:$CP$98)</f>
        <v>0</v>
      </c>
      <c r="CR57" s="7" t="s">
        <v>5</v>
      </c>
      <c r="CS57" s="5" t="n">
        <v>1</v>
      </c>
    </row>
    <row r="58">
      <c r="A58" s="4" t="s">
        <v>59</v>
      </c>
      <c r="B58" s="5" t="n">
        <v>0</v>
      </c>
      <c r="C58" s="5" t="n">
        <v>1</v>
      </c>
      <c r="D58" s="5" t="n">
        <v>0</v>
      </c>
      <c r="E58" s="5" t="n">
        <v>0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1</v>
      </c>
      <c r="AJ58" s="5" t="n">
        <v>0</v>
      </c>
      <c r="AK58" s="5" t="n">
        <v>0</v>
      </c>
      <c r="AL58" s="5" t="n">
        <v>1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1</v>
      </c>
      <c r="AT58" s="5" t="n">
        <v>0</v>
      </c>
      <c r="AU58" s="5" t="n">
        <v>0</v>
      </c>
      <c r="AV58" s="5" t="n">
        <v>1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1</v>
      </c>
      <c r="BE58" s="5" t="n">
        <v>0</v>
      </c>
      <c r="BF58" s="5" t="n">
        <v>1</v>
      </c>
      <c r="BG58" s="5" t="n">
        <v>0</v>
      </c>
      <c r="BH58" s="5" t="n">
        <v>0</v>
      </c>
      <c r="BI58" s="5" t="n">
        <v>0</v>
      </c>
      <c r="BJ58" s="5" t="n">
        <v>1</v>
      </c>
      <c r="BK58" s="5" t="n">
        <v>1</v>
      </c>
      <c r="BL58" s="5" t="n">
        <v>0</v>
      </c>
      <c r="BM58" s="5" t="n">
        <v>0</v>
      </c>
      <c r="BN58" s="5" t="n">
        <v>1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1</v>
      </c>
      <c r="BW58" s="5" t="n">
        <v>0</v>
      </c>
      <c r="BX58" s="5" t="n">
        <v>0</v>
      </c>
      <c r="BY58" s="5" t="n">
        <v>1</v>
      </c>
      <c r="BZ58" s="5" t="n">
        <v>0</v>
      </c>
      <c r="CA58" s="5" t="n">
        <v>0</v>
      </c>
      <c r="CB58" s="5" t="n">
        <v>1</v>
      </c>
      <c r="CC58" s="5" t="n">
        <v>0</v>
      </c>
      <c r="CD58" s="5" t="n">
        <v>1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1</v>
      </c>
      <c r="CM58" s="5" t="n">
        <v>0</v>
      </c>
      <c r="CN58" s="5" t="n">
        <v>0</v>
      </c>
      <c r="CO58" s="5" t="n">
        <v>0</v>
      </c>
      <c r="CP58" s="5" t="n">
        <v>0</v>
      </c>
      <c r="CQ58" s="6" t="n">
        <f aca="false">SUMPRODUCT(B58:CP58,$B$98:$CP$98)</f>
        <v>0</v>
      </c>
      <c r="CR58" s="7" t="s">
        <v>5</v>
      </c>
      <c r="CS58" s="5" t="n">
        <v>1</v>
      </c>
    </row>
    <row r="59">
      <c r="A59" s="4" t="s">
        <v>60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1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6" t="n">
        <f aca="false">SUMPRODUCT(B59:CP59,$B$98:$CP$98)</f>
        <v>0</v>
      </c>
      <c r="CR59" s="7" t="s">
        <v>5</v>
      </c>
      <c r="CS59" s="5" t="n">
        <v>1</v>
      </c>
    </row>
    <row r="60">
      <c r="A60" s="4" t="s">
        <v>61</v>
      </c>
      <c r="B60" s="5" t="n">
        <v>0</v>
      </c>
      <c r="C60" s="5" t="n">
        <v>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1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1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1</v>
      </c>
      <c r="AT60" s="5" t="n">
        <v>0</v>
      </c>
      <c r="AU60" s="5" t="n">
        <v>0</v>
      </c>
      <c r="AV60" s="5" t="n">
        <v>1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1</v>
      </c>
      <c r="BE60" s="5" t="n">
        <v>0</v>
      </c>
      <c r="BF60" s="5" t="n">
        <v>1</v>
      </c>
      <c r="BG60" s="5" t="n">
        <v>0</v>
      </c>
      <c r="BH60" s="5" t="n">
        <v>0</v>
      </c>
      <c r="BI60" s="5" t="n">
        <v>0</v>
      </c>
      <c r="BJ60" s="5" t="n">
        <v>1</v>
      </c>
      <c r="BK60" s="5" t="n">
        <v>1</v>
      </c>
      <c r="BL60" s="5" t="n">
        <v>0</v>
      </c>
      <c r="BM60" s="5" t="n">
        <v>0</v>
      </c>
      <c r="BN60" s="5" t="n">
        <v>1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1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1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6" t="n">
        <f aca="false">SUMPRODUCT(B60:CP60,$B$98:$CP$98)</f>
        <v>0</v>
      </c>
      <c r="CR60" s="7" t="s">
        <v>5</v>
      </c>
      <c r="CS60" s="5" t="n">
        <v>1</v>
      </c>
    </row>
    <row r="61">
      <c r="A61" s="4" t="s">
        <v>62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1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1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1</v>
      </c>
      <c r="CI61" s="5" t="n">
        <v>0</v>
      </c>
      <c r="CJ61" s="5" t="n">
        <v>0</v>
      </c>
      <c r="CK61" s="5" t="n">
        <v>1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6" t="n">
        <f aca="false">SUMPRODUCT(B61:CP61,$B$98:$CP$98)</f>
        <v>0</v>
      </c>
      <c r="CR61" s="7" t="s">
        <v>5</v>
      </c>
      <c r="CS61" s="5" t="n">
        <v>1</v>
      </c>
    </row>
    <row r="62">
      <c r="A62" s="4" t="s">
        <v>63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1</v>
      </c>
      <c r="P62" s="5" t="n">
        <v>1</v>
      </c>
      <c r="Q62" s="5" t="n">
        <v>1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1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1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1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1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1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1</v>
      </c>
      <c r="BP62" s="5" t="n">
        <v>1</v>
      </c>
      <c r="BQ62" s="5" t="n">
        <v>0</v>
      </c>
      <c r="BR62" s="5" t="n">
        <v>1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1</v>
      </c>
      <c r="CG62" s="5" t="n">
        <v>0</v>
      </c>
      <c r="CH62" s="5" t="n">
        <v>0</v>
      </c>
      <c r="CI62" s="5" t="n">
        <v>1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1</v>
      </c>
      <c r="CO62" s="5" t="n">
        <v>0</v>
      </c>
      <c r="CP62" s="5" t="n">
        <v>0</v>
      </c>
      <c r="CQ62" s="6" t="n">
        <f aca="false">SUMPRODUCT(B62:CP62,$B$98:$CP$98)</f>
        <v>0</v>
      </c>
      <c r="CR62" s="7" t="s">
        <v>5</v>
      </c>
      <c r="CS62" s="5" t="n">
        <v>1</v>
      </c>
    </row>
    <row r="63">
      <c r="A63" s="4" t="s">
        <v>64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1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1</v>
      </c>
      <c r="AJ63" s="5" t="n">
        <v>1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1</v>
      </c>
      <c r="AU63" s="5" t="n">
        <v>0</v>
      </c>
      <c r="AV63" s="5" t="n">
        <v>1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1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1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6" t="n">
        <f aca="false">SUMPRODUCT(B63:CP63,$B$98:$CP$98)</f>
        <v>0</v>
      </c>
      <c r="CR63" s="7" t="s">
        <v>5</v>
      </c>
      <c r="CS63" s="5" t="n">
        <v>1</v>
      </c>
    </row>
    <row r="64">
      <c r="A64" s="4" t="s">
        <v>65</v>
      </c>
      <c r="B64" s="5" t="n">
        <v>0</v>
      </c>
      <c r="C64" s="5" t="n">
        <v>1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1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1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1</v>
      </c>
      <c r="AT64" s="5" t="n">
        <v>0</v>
      </c>
      <c r="AU64" s="5" t="n">
        <v>0</v>
      </c>
      <c r="AV64" s="5" t="n">
        <v>1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1</v>
      </c>
      <c r="BE64" s="5" t="n">
        <v>0</v>
      </c>
      <c r="BF64" s="5" t="n">
        <v>1</v>
      </c>
      <c r="BG64" s="5" t="n">
        <v>0</v>
      </c>
      <c r="BH64" s="5" t="n">
        <v>0</v>
      </c>
      <c r="BI64" s="5" t="n">
        <v>0</v>
      </c>
      <c r="BJ64" s="5" t="n">
        <v>1</v>
      </c>
      <c r="BK64" s="5" t="n">
        <v>1</v>
      </c>
      <c r="BL64" s="5" t="n">
        <v>0</v>
      </c>
      <c r="BM64" s="5" t="n">
        <v>0</v>
      </c>
      <c r="BN64" s="5" t="n">
        <v>1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1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1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6" t="n">
        <f aca="false">SUMPRODUCT(B64:CP64,$B$98:$CP$98)</f>
        <v>0</v>
      </c>
      <c r="CR64" s="7" t="s">
        <v>5</v>
      </c>
      <c r="CS64" s="5" t="n">
        <v>1</v>
      </c>
    </row>
    <row r="65">
      <c r="A65" s="4" t="s">
        <v>66</v>
      </c>
      <c r="B65" s="5" t="n">
        <v>0</v>
      </c>
      <c r="C65" s="5" t="n">
        <v>1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1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1</v>
      </c>
      <c r="AT65" s="5" t="n">
        <v>0</v>
      </c>
      <c r="AU65" s="5" t="n">
        <v>0</v>
      </c>
      <c r="AV65" s="5" t="n">
        <v>1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1</v>
      </c>
      <c r="BE65" s="5" t="n">
        <v>0</v>
      </c>
      <c r="BF65" s="5" t="n">
        <v>1</v>
      </c>
      <c r="BG65" s="5" t="n">
        <v>0</v>
      </c>
      <c r="BH65" s="5" t="n">
        <v>0</v>
      </c>
      <c r="BI65" s="5" t="n">
        <v>0</v>
      </c>
      <c r="BJ65" s="5" t="n">
        <v>1</v>
      </c>
      <c r="BK65" s="5" t="n">
        <v>1</v>
      </c>
      <c r="BL65" s="5" t="n">
        <v>0</v>
      </c>
      <c r="BM65" s="5" t="n">
        <v>0</v>
      </c>
      <c r="BN65" s="5" t="n">
        <v>1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1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1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6" t="n">
        <f aca="false">SUMPRODUCT(B65:CP65,$B$98:$CP$98)</f>
        <v>0</v>
      </c>
      <c r="CR65" s="7" t="s">
        <v>5</v>
      </c>
      <c r="CS65" s="5" t="n">
        <v>1</v>
      </c>
    </row>
    <row r="66">
      <c r="A66" s="4" t="s">
        <v>67</v>
      </c>
      <c r="B66" s="5" t="n">
        <v>0</v>
      </c>
      <c r="C66" s="5" t="n">
        <v>0</v>
      </c>
      <c r="D66" s="5" t="n">
        <v>0</v>
      </c>
      <c r="E66" s="5" t="n">
        <v>1</v>
      </c>
      <c r="F66" s="5" t="n">
        <v>0</v>
      </c>
      <c r="G66" s="5" t="n">
        <v>0</v>
      </c>
      <c r="H66" s="5" t="n">
        <v>1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1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1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6" t="n">
        <f aca="false">SUMPRODUCT(B66:CP66,$B$98:$CP$98)</f>
        <v>0</v>
      </c>
      <c r="CR66" s="7" t="s">
        <v>5</v>
      </c>
      <c r="CS66" s="5" t="n">
        <v>1</v>
      </c>
    </row>
    <row r="67">
      <c r="A67" s="4" t="s">
        <v>68</v>
      </c>
      <c r="B67" s="5" t="n">
        <v>1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1</v>
      </c>
      <c r="X67" s="5" t="n">
        <v>0</v>
      </c>
      <c r="Y67" s="5" t="n">
        <v>0</v>
      </c>
      <c r="Z67" s="5" t="n">
        <v>1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1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1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1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1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1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6" t="n">
        <f aca="false">SUMPRODUCT(B67:CP67,$B$98:$CP$98)</f>
        <v>0</v>
      </c>
      <c r="CR67" s="7" t="s">
        <v>5</v>
      </c>
      <c r="CS67" s="5" t="n">
        <v>1</v>
      </c>
    </row>
    <row r="68">
      <c r="A68" s="4" t="s">
        <v>69</v>
      </c>
      <c r="B68" s="5" t="n">
        <v>0</v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1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1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1</v>
      </c>
      <c r="AT68" s="5" t="n">
        <v>0</v>
      </c>
      <c r="AU68" s="5" t="n">
        <v>0</v>
      </c>
      <c r="AV68" s="5" t="n">
        <v>1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1</v>
      </c>
      <c r="BE68" s="5" t="n">
        <v>0</v>
      </c>
      <c r="BF68" s="5" t="n">
        <v>1</v>
      </c>
      <c r="BG68" s="5" t="n">
        <v>0</v>
      </c>
      <c r="BH68" s="5" t="n">
        <v>0</v>
      </c>
      <c r="BI68" s="5" t="n">
        <v>0</v>
      </c>
      <c r="BJ68" s="5" t="n">
        <v>1</v>
      </c>
      <c r="BK68" s="5" t="n">
        <v>1</v>
      </c>
      <c r="BL68" s="5" t="n">
        <v>0</v>
      </c>
      <c r="BM68" s="5" t="n">
        <v>0</v>
      </c>
      <c r="BN68" s="5" t="n">
        <v>1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1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1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6" t="n">
        <f aca="false">SUMPRODUCT(B68:CP68,$B$98:$CP$98)</f>
        <v>0</v>
      </c>
      <c r="CR68" s="7" t="s">
        <v>5</v>
      </c>
      <c r="CS68" s="5" t="n">
        <v>1</v>
      </c>
    </row>
    <row r="69">
      <c r="A69" s="4" t="s">
        <v>70</v>
      </c>
      <c r="B69" s="5" t="n">
        <v>0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1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1</v>
      </c>
      <c r="AB69" s="5" t="n">
        <v>1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1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1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1</v>
      </c>
      <c r="BP69" s="5" t="n">
        <v>1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1</v>
      </c>
      <c r="CG69" s="5" t="n">
        <v>0</v>
      </c>
      <c r="CH69" s="5" t="n">
        <v>0</v>
      </c>
      <c r="CI69" s="5" t="n">
        <v>1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6" t="n">
        <f aca="false">SUMPRODUCT(B69:CP69,$B$98:$CP$98)</f>
        <v>0</v>
      </c>
      <c r="CR69" s="7" t="s">
        <v>5</v>
      </c>
      <c r="CS69" s="5" t="n">
        <v>1</v>
      </c>
    </row>
    <row r="70">
      <c r="A70" s="4" t="s">
        <v>71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1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  <c r="X70" s="5" t="n">
        <v>0</v>
      </c>
      <c r="Y70" s="5" t="n">
        <v>0</v>
      </c>
      <c r="Z70" s="5" t="n">
        <v>0</v>
      </c>
      <c r="AA70" s="5" t="n">
        <v>1</v>
      </c>
      <c r="AB70" s="5" t="n">
        <v>0</v>
      </c>
      <c r="AC70" s="5" t="n">
        <v>0</v>
      </c>
      <c r="AD70" s="5" t="n">
        <v>0</v>
      </c>
      <c r="AE70" s="5" t="n">
        <v>1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1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1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1</v>
      </c>
      <c r="BP70" s="5" t="n">
        <v>1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1</v>
      </c>
      <c r="CF70" s="5" t="n">
        <v>1</v>
      </c>
      <c r="CG70" s="5" t="n">
        <v>0</v>
      </c>
      <c r="CH70" s="5" t="n">
        <v>0</v>
      </c>
      <c r="CI70" s="5" t="n">
        <v>1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6" t="n">
        <f aca="false">SUMPRODUCT(B70:CP70,$B$98:$CP$98)</f>
        <v>0</v>
      </c>
      <c r="CR70" s="7" t="s">
        <v>5</v>
      </c>
      <c r="CS70" s="5" t="n">
        <v>1</v>
      </c>
    </row>
    <row r="71">
      <c r="A71" s="4" t="s">
        <v>72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1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1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1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1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1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6" t="n">
        <f aca="false">SUMPRODUCT(B71:CP71,$B$98:$CP$98)</f>
        <v>0</v>
      </c>
      <c r="CR71" s="7" t="s">
        <v>5</v>
      </c>
      <c r="CS71" s="5" t="n">
        <v>1</v>
      </c>
    </row>
    <row r="72">
      <c r="A72" s="4" t="s">
        <v>73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1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1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1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1</v>
      </c>
      <c r="AO72" s="5" t="n">
        <v>0</v>
      </c>
      <c r="AP72" s="5" t="n">
        <v>0</v>
      </c>
      <c r="AQ72" s="5" t="n">
        <v>0</v>
      </c>
      <c r="AR72" s="5" t="n">
        <v>1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1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1</v>
      </c>
      <c r="BS72" s="5" t="n">
        <v>0</v>
      </c>
      <c r="BT72" s="5" t="n">
        <v>1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1</v>
      </c>
      <c r="CO72" s="5" t="n">
        <v>1</v>
      </c>
      <c r="CP72" s="5" t="n">
        <v>0</v>
      </c>
      <c r="CQ72" s="6" t="n">
        <f aca="false">SUMPRODUCT(B72:CP72,$B$98:$CP$98)</f>
        <v>0</v>
      </c>
      <c r="CR72" s="7" t="s">
        <v>5</v>
      </c>
      <c r="CS72" s="5" t="n">
        <v>1</v>
      </c>
    </row>
    <row r="73">
      <c r="A73" s="4" t="s">
        <v>74</v>
      </c>
      <c r="B73" s="5" t="n">
        <v>1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1</v>
      </c>
      <c r="X73" s="5" t="n">
        <v>0</v>
      </c>
      <c r="Y73" s="5" t="n">
        <v>0</v>
      </c>
      <c r="Z73" s="5" t="n">
        <v>1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1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1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1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1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1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6" t="n">
        <f aca="false">SUMPRODUCT(B73:CP73,$B$98:$CP$98)</f>
        <v>0</v>
      </c>
      <c r="CR73" s="7" t="s">
        <v>5</v>
      </c>
      <c r="CS73" s="5" t="n">
        <v>1</v>
      </c>
    </row>
    <row r="74">
      <c r="A74" s="4" t="s">
        <v>75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1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1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1</v>
      </c>
      <c r="AO74" s="5" t="n">
        <v>0</v>
      </c>
      <c r="AP74" s="5" t="n">
        <v>0</v>
      </c>
      <c r="AQ74" s="5" t="n">
        <v>0</v>
      </c>
      <c r="AR74" s="5" t="n">
        <v>1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1</v>
      </c>
      <c r="BS74" s="5" t="n">
        <v>0</v>
      </c>
      <c r="BT74" s="5" t="n">
        <v>1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1</v>
      </c>
      <c r="CO74" s="5" t="n">
        <v>1</v>
      </c>
      <c r="CP74" s="5" t="n">
        <v>0</v>
      </c>
      <c r="CQ74" s="6" t="n">
        <f aca="false">SUMPRODUCT(B74:CP74,$B$98:$CP$98)</f>
        <v>0</v>
      </c>
      <c r="CR74" s="7" t="s">
        <v>5</v>
      </c>
      <c r="CS74" s="5" t="n">
        <v>1</v>
      </c>
    </row>
    <row r="75">
      <c r="A75" s="4" t="s">
        <v>76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1</v>
      </c>
      <c r="AN75" s="5" t="n">
        <v>0</v>
      </c>
      <c r="AO75" s="5" t="n">
        <v>0</v>
      </c>
      <c r="AP75" s="5" t="n">
        <v>1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1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1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6" t="n">
        <f aca="false">SUMPRODUCT(B75:CP75,$B$98:$CP$98)</f>
        <v>0</v>
      </c>
      <c r="CR75" s="7" t="s">
        <v>5</v>
      </c>
      <c r="CS75" s="5" t="n">
        <v>1</v>
      </c>
    </row>
    <row r="76">
      <c r="A76" s="4" t="s">
        <v>77</v>
      </c>
      <c r="B76" s="5" t="n">
        <v>0</v>
      </c>
      <c r="C76" s="5" t="n">
        <v>1</v>
      </c>
      <c r="D76" s="5" t="n">
        <v>0</v>
      </c>
      <c r="E76" s="5" t="n">
        <v>0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1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1</v>
      </c>
      <c r="AJ76" s="5" t="n">
        <v>0</v>
      </c>
      <c r="AK76" s="5" t="n">
        <v>0</v>
      </c>
      <c r="AL76" s="5" t="n">
        <v>1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1</v>
      </c>
      <c r="AT76" s="5" t="n">
        <v>0</v>
      </c>
      <c r="AU76" s="5" t="n">
        <v>0</v>
      </c>
      <c r="AV76" s="5" t="n">
        <v>1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1</v>
      </c>
      <c r="BE76" s="5" t="n">
        <v>0</v>
      </c>
      <c r="BF76" s="5" t="n">
        <v>1</v>
      </c>
      <c r="BG76" s="5" t="n">
        <v>0</v>
      </c>
      <c r="BH76" s="5" t="n">
        <v>0</v>
      </c>
      <c r="BI76" s="5" t="n">
        <v>0</v>
      </c>
      <c r="BJ76" s="5" t="n">
        <v>1</v>
      </c>
      <c r="BK76" s="5" t="n">
        <v>1</v>
      </c>
      <c r="BL76" s="5" t="n">
        <v>0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1</v>
      </c>
      <c r="BW76" s="5" t="n">
        <v>0</v>
      </c>
      <c r="BX76" s="5" t="n">
        <v>0</v>
      </c>
      <c r="BY76" s="5" t="n">
        <v>1</v>
      </c>
      <c r="BZ76" s="5" t="n">
        <v>0</v>
      </c>
      <c r="CA76" s="5" t="n">
        <v>0</v>
      </c>
      <c r="CB76" s="5" t="n">
        <v>1</v>
      </c>
      <c r="CC76" s="5" t="n">
        <v>0</v>
      </c>
      <c r="CD76" s="5" t="n">
        <v>1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1</v>
      </c>
      <c r="CM76" s="5" t="n">
        <v>0</v>
      </c>
      <c r="CN76" s="5" t="n">
        <v>0</v>
      </c>
      <c r="CO76" s="5" t="n">
        <v>0</v>
      </c>
      <c r="CP76" s="5" t="n">
        <v>0</v>
      </c>
      <c r="CQ76" s="6" t="n">
        <f aca="false">SUMPRODUCT(B76:CP76,$B$98:$CP$98)</f>
        <v>0</v>
      </c>
      <c r="CR76" s="7" t="s">
        <v>5</v>
      </c>
      <c r="CS76" s="5" t="n">
        <v>1</v>
      </c>
    </row>
    <row r="77">
      <c r="A77" s="4" t="s">
        <v>78</v>
      </c>
      <c r="B77" s="5" t="n">
        <v>0</v>
      </c>
      <c r="C77" s="5" t="n">
        <v>0</v>
      </c>
      <c r="D77" s="5" t="n">
        <v>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1</v>
      </c>
      <c r="AX77" s="5" t="n">
        <v>0</v>
      </c>
      <c r="AY77" s="5" t="n">
        <v>1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1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1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1</v>
      </c>
      <c r="CN77" s="5" t="n">
        <v>0</v>
      </c>
      <c r="CO77" s="5" t="n">
        <v>0</v>
      </c>
      <c r="CP77" s="5" t="n">
        <v>1</v>
      </c>
      <c r="CQ77" s="6" t="n">
        <f aca="false">SUMPRODUCT(B77:CP77,$B$98:$CP$98)</f>
        <v>0</v>
      </c>
      <c r="CR77" s="7" t="s">
        <v>5</v>
      </c>
      <c r="CS77" s="5" t="n">
        <v>1</v>
      </c>
    </row>
    <row r="78">
      <c r="A78" s="4" t="s">
        <v>79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1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6" t="n">
        <f aca="false">SUMPRODUCT(B78:CP78,$B$98:$CP$98)</f>
        <v>0</v>
      </c>
      <c r="CR78" s="7" t="s">
        <v>5</v>
      </c>
      <c r="CS78" s="5" t="n">
        <v>1</v>
      </c>
    </row>
    <row r="79">
      <c r="A79" s="4" t="s">
        <v>80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1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1</v>
      </c>
      <c r="AI79" s="5" t="n">
        <v>0</v>
      </c>
      <c r="AJ79" s="5" t="n">
        <v>0</v>
      </c>
      <c r="AK79" s="5" t="n">
        <v>0</v>
      </c>
      <c r="AL79" s="5" t="n">
        <v>1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1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1</v>
      </c>
      <c r="BW79" s="5" t="n">
        <v>0</v>
      </c>
      <c r="BX79" s="5" t="n">
        <v>0</v>
      </c>
      <c r="BY79" s="5" t="n">
        <v>1</v>
      </c>
      <c r="BZ79" s="5" t="n">
        <v>0</v>
      </c>
      <c r="CA79" s="5" t="n">
        <v>0</v>
      </c>
      <c r="CB79" s="5" t="n">
        <v>1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1</v>
      </c>
      <c r="CM79" s="5" t="n">
        <v>0</v>
      </c>
      <c r="CN79" s="5" t="n">
        <v>0</v>
      </c>
      <c r="CO79" s="5" t="n">
        <v>0</v>
      </c>
      <c r="CP79" s="5" t="n">
        <v>0</v>
      </c>
      <c r="CQ79" s="6" t="n">
        <f aca="false">SUMPRODUCT(B79:CP79,$B$98:$CP$98)</f>
        <v>0</v>
      </c>
      <c r="CR79" s="7" t="s">
        <v>5</v>
      </c>
      <c r="CS79" s="5" t="n">
        <v>1</v>
      </c>
    </row>
    <row r="80">
      <c r="A80" s="4" t="s">
        <v>81</v>
      </c>
      <c r="B80" s="5" t="n">
        <v>0</v>
      </c>
      <c r="C80" s="5" t="n">
        <v>0</v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1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1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1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1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1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6" t="n">
        <f aca="false">SUMPRODUCT(B80:CP80,$B$98:$CP$98)</f>
        <v>0</v>
      </c>
      <c r="CR80" s="7" t="s">
        <v>5</v>
      </c>
      <c r="CS80" s="5" t="n">
        <v>1</v>
      </c>
    </row>
    <row r="81">
      <c r="A81" s="4" t="s">
        <v>82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1</v>
      </c>
      <c r="AJ81" s="5" t="n">
        <v>1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1</v>
      </c>
      <c r="AU81" s="5" t="n">
        <v>0</v>
      </c>
      <c r="AV81" s="5" t="n">
        <v>1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1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6" t="n">
        <f aca="false">SUMPRODUCT(B81:CP81,$B$98:$CP$98)</f>
        <v>0</v>
      </c>
      <c r="CR81" s="7" t="s">
        <v>5</v>
      </c>
      <c r="CS81" s="5" t="n">
        <v>1</v>
      </c>
    </row>
    <row r="82">
      <c r="A82" s="4" t="s">
        <v>83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1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1</v>
      </c>
      <c r="AI82" s="5" t="n">
        <v>0</v>
      </c>
      <c r="AJ82" s="5" t="n">
        <v>0</v>
      </c>
      <c r="AK82" s="5" t="n">
        <v>0</v>
      </c>
      <c r="AL82" s="5" t="n">
        <v>1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1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1</v>
      </c>
      <c r="BW82" s="5" t="n">
        <v>0</v>
      </c>
      <c r="BX82" s="5" t="n">
        <v>0</v>
      </c>
      <c r="BY82" s="5" t="n">
        <v>1</v>
      </c>
      <c r="BZ82" s="5" t="n">
        <v>0</v>
      </c>
      <c r="CA82" s="5" t="n">
        <v>0</v>
      </c>
      <c r="CB82" s="5" t="n">
        <v>1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1</v>
      </c>
      <c r="CM82" s="5" t="n">
        <v>0</v>
      </c>
      <c r="CN82" s="5" t="n">
        <v>0</v>
      </c>
      <c r="CO82" s="5" t="n">
        <v>0</v>
      </c>
      <c r="CP82" s="5" t="n">
        <v>0</v>
      </c>
      <c r="CQ82" s="6" t="n">
        <f aca="false">SUMPRODUCT(B82:CP82,$B$98:$CP$98)</f>
        <v>0</v>
      </c>
      <c r="CR82" s="7" t="s">
        <v>5</v>
      </c>
      <c r="CS82" s="5" t="n">
        <v>1</v>
      </c>
    </row>
    <row r="83">
      <c r="A83" s="4" t="s">
        <v>84</v>
      </c>
      <c r="B83" s="5" t="n">
        <v>0</v>
      </c>
      <c r="C83" s="5" t="n">
        <v>0</v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1</v>
      </c>
      <c r="AC83" s="5" t="n">
        <v>0</v>
      </c>
      <c r="AD83" s="5" t="n">
        <v>1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1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6" t="n">
        <f aca="false">SUMPRODUCT(B83:CP83,$B$98:$CP$98)</f>
        <v>0</v>
      </c>
      <c r="CR83" s="7" t="s">
        <v>5</v>
      </c>
      <c r="CS83" s="5" t="n">
        <v>1</v>
      </c>
    </row>
    <row r="84">
      <c r="A84" s="4" t="s">
        <v>85</v>
      </c>
      <c r="B84" s="5" t="n">
        <v>0</v>
      </c>
      <c r="C84" s="5" t="n">
        <v>1</v>
      </c>
      <c r="D84" s="5" t="n">
        <v>0</v>
      </c>
      <c r="E84" s="5" t="n">
        <v>0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1</v>
      </c>
      <c r="AT84" s="5" t="n">
        <v>0</v>
      </c>
      <c r="AU84" s="5" t="n">
        <v>0</v>
      </c>
      <c r="AV84" s="5" t="n">
        <v>1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1</v>
      </c>
      <c r="BE84" s="5" t="n">
        <v>0</v>
      </c>
      <c r="BF84" s="5" t="n">
        <v>1</v>
      </c>
      <c r="BG84" s="5" t="n">
        <v>0</v>
      </c>
      <c r="BH84" s="5" t="n">
        <v>0</v>
      </c>
      <c r="BI84" s="5" t="n">
        <v>0</v>
      </c>
      <c r="BJ84" s="5" t="n">
        <v>1</v>
      </c>
      <c r="BK84" s="5" t="n">
        <v>1</v>
      </c>
      <c r="BL84" s="5" t="n">
        <v>0</v>
      </c>
      <c r="BM84" s="5" t="n">
        <v>0</v>
      </c>
      <c r="BN84" s="5" t="n">
        <v>1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1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1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1</v>
      </c>
      <c r="CM84" s="5" t="n">
        <v>0</v>
      </c>
      <c r="CN84" s="5" t="n">
        <v>0</v>
      </c>
      <c r="CO84" s="5" t="n">
        <v>0</v>
      </c>
      <c r="CP84" s="5" t="n">
        <v>0</v>
      </c>
      <c r="CQ84" s="6" t="n">
        <f aca="false">SUMPRODUCT(B84:CP84,$B$98:$CP$98)</f>
        <v>0</v>
      </c>
      <c r="CR84" s="7" t="s">
        <v>5</v>
      </c>
      <c r="CS84" s="5" t="n">
        <v>1</v>
      </c>
    </row>
    <row r="85">
      <c r="A85" s="4" t="s">
        <v>86</v>
      </c>
      <c r="B85" s="5" t="n">
        <v>1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1</v>
      </c>
      <c r="X85" s="5" t="n">
        <v>0</v>
      </c>
      <c r="Y85" s="5" t="n">
        <v>0</v>
      </c>
      <c r="Z85" s="5" t="n">
        <v>0</v>
      </c>
      <c r="AA85" s="5" t="n">
        <v>1</v>
      </c>
      <c r="AB85" s="5" t="n">
        <v>0</v>
      </c>
      <c r="AC85" s="5" t="n">
        <v>0</v>
      </c>
      <c r="AD85" s="5" t="n">
        <v>0</v>
      </c>
      <c r="AE85" s="5" t="n">
        <v>1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1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1</v>
      </c>
      <c r="BN85" s="5" t="n">
        <v>0</v>
      </c>
      <c r="BO85" s="5" t="n">
        <v>0</v>
      </c>
      <c r="BP85" s="5" t="n">
        <v>1</v>
      </c>
      <c r="BQ85" s="5" t="n">
        <v>0</v>
      </c>
      <c r="BR85" s="5" t="n">
        <v>0</v>
      </c>
      <c r="BS85" s="5" t="n">
        <v>1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1</v>
      </c>
      <c r="CF85" s="5" t="n">
        <v>0</v>
      </c>
      <c r="CG85" s="5" t="n">
        <v>0</v>
      </c>
      <c r="CH85" s="5" t="n">
        <v>0</v>
      </c>
      <c r="CI85" s="5" t="n">
        <v>1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6" t="n">
        <f aca="false">SUMPRODUCT(B85:CP85,$B$98:$CP$98)</f>
        <v>0</v>
      </c>
      <c r="CR85" s="7" t="s">
        <v>5</v>
      </c>
      <c r="CS85" s="5" t="n">
        <v>1</v>
      </c>
    </row>
    <row r="86">
      <c r="A86" s="4" t="s">
        <v>87</v>
      </c>
      <c r="B86" s="5" t="n">
        <v>0</v>
      </c>
      <c r="C86" s="5" t="n">
        <v>0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1</v>
      </c>
      <c r="AB86" s="5" t="n">
        <v>1</v>
      </c>
      <c r="AC86" s="5" t="n">
        <v>0</v>
      </c>
      <c r="AD86" s="5" t="n">
        <v>0</v>
      </c>
      <c r="AE86" s="5" t="n">
        <v>0</v>
      </c>
      <c r="AF86" s="5" t="n">
        <v>1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1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1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1</v>
      </c>
      <c r="BP86" s="5" t="n">
        <v>1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1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1</v>
      </c>
      <c r="CG86" s="5" t="n">
        <v>0</v>
      </c>
      <c r="CH86" s="5" t="n">
        <v>0</v>
      </c>
      <c r="CI86" s="5" t="n">
        <v>1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6" t="n">
        <f aca="false">SUMPRODUCT(B86:CP86,$B$98:$CP$98)</f>
        <v>0</v>
      </c>
      <c r="CR86" s="7" t="s">
        <v>5</v>
      </c>
      <c r="CS86" s="5" t="n">
        <v>1</v>
      </c>
    </row>
    <row r="87">
      <c r="A87" s="4" t="s">
        <v>88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1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0</v>
      </c>
      <c r="W87" s="5" t="n">
        <v>0</v>
      </c>
      <c r="X87" s="5" t="n">
        <v>1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1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1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1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1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1</v>
      </c>
      <c r="CN87" s="5" t="n">
        <v>0</v>
      </c>
      <c r="CO87" s="5" t="n">
        <v>0</v>
      </c>
      <c r="CP87" s="5" t="n">
        <v>0</v>
      </c>
      <c r="CQ87" s="6" t="n">
        <f aca="false">SUMPRODUCT(B87:CP87,$B$98:$CP$98)</f>
        <v>0</v>
      </c>
      <c r="CR87" s="7" t="s">
        <v>5</v>
      </c>
      <c r="CS87" s="5" t="n">
        <v>1</v>
      </c>
    </row>
    <row r="88">
      <c r="A88" s="4" t="s">
        <v>89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1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1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1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1</v>
      </c>
      <c r="CI88" s="5" t="n">
        <v>0</v>
      </c>
      <c r="CJ88" s="5" t="n">
        <v>0</v>
      </c>
      <c r="CK88" s="5" t="n">
        <v>1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6" t="n">
        <f aca="false">SUMPRODUCT(B88:CP88,$B$98:$CP$98)</f>
        <v>0</v>
      </c>
      <c r="CR88" s="7" t="s">
        <v>5</v>
      </c>
      <c r="CS88" s="5" t="n">
        <v>1</v>
      </c>
    </row>
    <row r="89">
      <c r="A89" s="4" t="s">
        <v>90</v>
      </c>
      <c r="B89" s="5" t="n">
        <v>0</v>
      </c>
      <c r="C89" s="5" t="n">
        <v>0</v>
      </c>
      <c r="D89" s="5" t="n">
        <v>1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1</v>
      </c>
      <c r="Q89" s="5" t="n">
        <v>1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1</v>
      </c>
      <c r="AB89" s="5" t="n">
        <v>1</v>
      </c>
      <c r="AC89" s="5" t="n">
        <v>0</v>
      </c>
      <c r="AD89" s="5" t="n">
        <v>0</v>
      </c>
      <c r="AE89" s="5" t="n">
        <v>0</v>
      </c>
      <c r="AF89" s="5" t="n">
        <v>1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1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1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1</v>
      </c>
      <c r="BP89" s="5" t="n">
        <v>1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1</v>
      </c>
      <c r="CF89" s="5" t="n">
        <v>1</v>
      </c>
      <c r="CG89" s="5" t="n">
        <v>0</v>
      </c>
      <c r="CH89" s="5" t="n">
        <v>0</v>
      </c>
      <c r="CI89" s="5" t="n">
        <v>1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6" t="n">
        <f aca="false">SUMPRODUCT(B89:CP89,$B$98:$CP$98)</f>
        <v>0</v>
      </c>
      <c r="CR89" s="7" t="s">
        <v>5</v>
      </c>
      <c r="CS89" s="5" t="n">
        <v>1</v>
      </c>
    </row>
    <row r="90">
      <c r="A90" s="4" t="s">
        <v>91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5" t="n">
        <v>0</v>
      </c>
      <c r="H90" s="5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1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1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6" t="n">
        <f aca="false">SUMPRODUCT(B90:CP90,$B$98:$CP$98)</f>
        <v>0</v>
      </c>
      <c r="CR90" s="7" t="s">
        <v>5</v>
      </c>
      <c r="CS90" s="5" t="n">
        <v>1</v>
      </c>
    </row>
    <row r="91">
      <c r="A91" s="4" t="s">
        <v>92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1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1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1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1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1</v>
      </c>
      <c r="CI91" s="5" t="n">
        <v>0</v>
      </c>
      <c r="CJ91" s="5" t="n">
        <v>0</v>
      </c>
      <c r="CK91" s="5" t="n">
        <v>1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6" t="n">
        <f aca="false">SUMPRODUCT(B91:CP91,$B$98:$CP$98)</f>
        <v>0</v>
      </c>
      <c r="CR91" s="7" t="s">
        <v>5</v>
      </c>
      <c r="CS91" s="5" t="n">
        <v>1</v>
      </c>
    </row>
    <row r="92">
      <c r="A92" s="4" t="s">
        <v>93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1</v>
      </c>
      <c r="G92" s="5" t="n">
        <v>0</v>
      </c>
      <c r="H92" s="5" t="n">
        <v>0</v>
      </c>
      <c r="I92" s="5" t="n">
        <v>1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1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1</v>
      </c>
      <c r="AI92" s="5" t="n">
        <v>0</v>
      </c>
      <c r="AJ92" s="5" t="n">
        <v>0</v>
      </c>
      <c r="AK92" s="5" t="n">
        <v>0</v>
      </c>
      <c r="AL92" s="5" t="n">
        <v>1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1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1</v>
      </c>
      <c r="BW92" s="5" t="n">
        <v>0</v>
      </c>
      <c r="BX92" s="5" t="n">
        <v>0</v>
      </c>
      <c r="BY92" s="5" t="n">
        <v>1</v>
      </c>
      <c r="BZ92" s="5" t="n">
        <v>0</v>
      </c>
      <c r="CA92" s="5" t="n">
        <v>0</v>
      </c>
      <c r="CB92" s="5" t="n">
        <v>1</v>
      </c>
      <c r="CC92" s="5" t="n">
        <v>0</v>
      </c>
      <c r="CD92" s="5" t="n">
        <v>1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1</v>
      </c>
      <c r="CM92" s="5" t="n">
        <v>0</v>
      </c>
      <c r="CN92" s="5" t="n">
        <v>0</v>
      </c>
      <c r="CO92" s="5" t="n">
        <v>0</v>
      </c>
      <c r="CP92" s="5" t="n">
        <v>0</v>
      </c>
      <c r="CQ92" s="6" t="n">
        <f aca="false">SUMPRODUCT(B92:CP92,$B$98:$CP$98)</f>
        <v>0</v>
      </c>
      <c r="CR92" s="7" t="s">
        <v>5</v>
      </c>
      <c r="CS92" s="5" t="n">
        <v>1</v>
      </c>
    </row>
    <row r="93">
      <c r="A93" s="4" t="s">
        <v>94</v>
      </c>
      <c r="B93" s="5" t="n">
        <v>0</v>
      </c>
      <c r="C93" s="5" t="n">
        <v>0</v>
      </c>
      <c r="D93" s="5" t="n">
        <v>0</v>
      </c>
      <c r="E93" s="5" t="n">
        <v>1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1</v>
      </c>
      <c r="K93" s="5" t="n">
        <v>0</v>
      </c>
      <c r="L93" s="5" t="n">
        <v>1</v>
      </c>
      <c r="M93" s="5" t="n">
        <v>0</v>
      </c>
      <c r="N93" s="5" t="n">
        <v>1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1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1</v>
      </c>
      <c r="AX93" s="5" t="n">
        <v>0</v>
      </c>
      <c r="AY93" s="5" t="n">
        <v>1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1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1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1</v>
      </c>
      <c r="CN93" s="5" t="n">
        <v>0</v>
      </c>
      <c r="CO93" s="5" t="n">
        <v>0</v>
      </c>
      <c r="CP93" s="5" t="n">
        <v>1</v>
      </c>
      <c r="CQ93" s="6" t="n">
        <f aca="false">SUMPRODUCT(B93:CP93,$B$98:$CP$98)</f>
        <v>0</v>
      </c>
      <c r="CR93" s="7" t="s">
        <v>5</v>
      </c>
      <c r="CS93" s="5" t="n">
        <v>1</v>
      </c>
    </row>
    <row r="94">
      <c r="A94" s="4" t="s">
        <v>95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1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1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1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1</v>
      </c>
      <c r="AL94" s="5" t="n">
        <v>0</v>
      </c>
      <c r="AM94" s="5" t="n">
        <v>0</v>
      </c>
      <c r="AN94" s="5" t="n">
        <v>1</v>
      </c>
      <c r="AO94" s="5" t="n">
        <v>0</v>
      </c>
      <c r="AP94" s="5" t="n">
        <v>0</v>
      </c>
      <c r="AQ94" s="5" t="n">
        <v>0</v>
      </c>
      <c r="AR94" s="5" t="n">
        <v>1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1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1</v>
      </c>
      <c r="BS94" s="5" t="n">
        <v>0</v>
      </c>
      <c r="BT94" s="5" t="n">
        <v>1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1</v>
      </c>
      <c r="CO94" s="5" t="n">
        <v>1</v>
      </c>
      <c r="CP94" s="5" t="n">
        <v>0</v>
      </c>
      <c r="CQ94" s="6" t="n">
        <f aca="false">SUMPRODUCT(B94:CP94,$B$98:$CP$98)</f>
        <v>0</v>
      </c>
      <c r="CR94" s="7" t="s">
        <v>5</v>
      </c>
      <c r="CS94" s="5" t="n">
        <v>1</v>
      </c>
    </row>
    <row r="95">
      <c r="A95" s="4" t="s">
        <v>96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1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1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1</v>
      </c>
      <c r="AO95" s="5" t="n">
        <v>0</v>
      </c>
      <c r="AP95" s="5" t="n">
        <v>0</v>
      </c>
      <c r="AQ95" s="5" t="n">
        <v>0</v>
      </c>
      <c r="AR95" s="5" t="n">
        <v>1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1</v>
      </c>
      <c r="BS95" s="5" t="n">
        <v>0</v>
      </c>
      <c r="BT95" s="5" t="n">
        <v>1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1</v>
      </c>
      <c r="CO95" s="5" t="n">
        <v>1</v>
      </c>
      <c r="CP95" s="5" t="n">
        <v>0</v>
      </c>
      <c r="CQ95" s="6" t="n">
        <f aca="false">SUMPRODUCT(B95:CP95,$B$98:$CP$98)</f>
        <v>0</v>
      </c>
      <c r="CR95" s="7" t="s">
        <v>5</v>
      </c>
      <c r="CS95" s="5" t="n">
        <v>1</v>
      </c>
    </row>
    <row r="96">
      <c r="A96" s="4" t="s">
        <v>97</v>
      </c>
      <c r="B96" s="5" t="n">
        <v>0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0</v>
      </c>
      <c r="H96" s="5" t="n">
        <v>1</v>
      </c>
      <c r="I96" s="5" t="n">
        <v>0</v>
      </c>
      <c r="J96" s="5" t="n">
        <v>1</v>
      </c>
      <c r="K96" s="5" t="n">
        <v>0</v>
      </c>
      <c r="L96" s="5" t="n">
        <v>1</v>
      </c>
      <c r="M96" s="5" t="n">
        <v>0</v>
      </c>
      <c r="N96" s="5" t="n">
        <v>1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1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1</v>
      </c>
      <c r="AX96" s="5" t="n">
        <v>0</v>
      </c>
      <c r="AY96" s="5" t="n">
        <v>1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1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1</v>
      </c>
      <c r="CN96" s="5" t="n">
        <v>0</v>
      </c>
      <c r="CO96" s="5" t="n">
        <v>0</v>
      </c>
      <c r="CP96" s="5" t="n">
        <v>1</v>
      </c>
      <c r="CQ96" s="6" t="n">
        <f aca="false">SUMPRODUCT(B96:CP96,$B$98:$CP$98)</f>
        <v>0</v>
      </c>
      <c r="CR96" s="7" t="s">
        <v>5</v>
      </c>
      <c r="CS96" s="5" t="n">
        <v>1</v>
      </c>
    </row>
    <row r="98">
      <c r="A98" s="4" t="s">
        <v>98</v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0</v>
      </c>
      <c r="AE98" s="8" t="n">
        <v>0</v>
      </c>
      <c r="AF98" s="8" t="n">
        <v>0</v>
      </c>
      <c r="AG98" s="8" t="n">
        <v>0</v>
      </c>
      <c r="AH98" s="8" t="n">
        <v>0</v>
      </c>
      <c r="AI98" s="8" t="n">
        <v>0</v>
      </c>
      <c r="AJ98" s="8" t="n">
        <v>0</v>
      </c>
      <c r="AK98" s="8" t="n">
        <v>0</v>
      </c>
      <c r="AL98" s="8" t="n">
        <v>0</v>
      </c>
      <c r="AM98" s="8" t="n">
        <v>0</v>
      </c>
      <c r="AN98" s="8" t="n">
        <v>0</v>
      </c>
      <c r="AO98" s="8" t="n">
        <v>0</v>
      </c>
      <c r="AP98" s="8" t="n">
        <v>0</v>
      </c>
      <c r="AQ98" s="8" t="n">
        <v>0</v>
      </c>
      <c r="AR98" s="8" t="n">
        <v>0</v>
      </c>
      <c r="AS98" s="8" t="n">
        <v>0</v>
      </c>
      <c r="AT98" s="8" t="n">
        <v>0</v>
      </c>
      <c r="AU98" s="8" t="n">
        <v>0</v>
      </c>
      <c r="AV98" s="8" t="n">
        <v>0</v>
      </c>
      <c r="AW98" s="8" t="n">
        <v>0</v>
      </c>
      <c r="AX98" s="8" t="n">
        <v>0</v>
      </c>
      <c r="AY98" s="8" t="n">
        <v>0</v>
      </c>
      <c r="AZ98" s="8" t="n">
        <v>0</v>
      </c>
      <c r="BA98" s="8" t="n">
        <v>0</v>
      </c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0</v>
      </c>
      <c r="BI98" s="8" t="n">
        <v>0</v>
      </c>
      <c r="BJ98" s="8" t="n">
        <v>0</v>
      </c>
      <c r="BK98" s="8" t="n">
        <v>0</v>
      </c>
      <c r="BL98" s="8" t="n">
        <v>0</v>
      </c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0</v>
      </c>
      <c r="BT98" s="8" t="n">
        <v>0</v>
      </c>
      <c r="BU98" s="8" t="n">
        <v>0</v>
      </c>
      <c r="BV98" s="8" t="n">
        <v>0</v>
      </c>
      <c r="BW98" s="8" t="n">
        <v>0</v>
      </c>
      <c r="BX98" s="8" t="n">
        <v>0</v>
      </c>
      <c r="BY98" s="8" t="n">
        <v>0</v>
      </c>
      <c r="BZ98" s="8" t="n">
        <v>0</v>
      </c>
      <c r="CA98" s="8" t="n">
        <v>0</v>
      </c>
      <c r="CB98" s="8" t="n">
        <v>0</v>
      </c>
      <c r="CC98" s="8" t="n">
        <v>0</v>
      </c>
      <c r="CD98" s="8" t="n">
        <v>0</v>
      </c>
      <c r="CE98" s="8" t="n">
        <v>0</v>
      </c>
      <c r="CF98" s="8" t="n">
        <v>0</v>
      </c>
      <c r="CG98" s="8" t="n">
        <v>0</v>
      </c>
      <c r="CH98" s="8" t="n">
        <v>0</v>
      </c>
      <c r="CI98" s="8" t="n">
        <v>0</v>
      </c>
      <c r="CJ98" s="8" t="n">
        <v>0</v>
      </c>
      <c r="CK98" s="8" t="n">
        <v>0</v>
      </c>
      <c r="CL98" s="8" t="n">
        <v>0</v>
      </c>
      <c r="CM98" s="8" t="n">
        <v>0</v>
      </c>
      <c r="CN98" s="8" t="n">
        <v>0</v>
      </c>
      <c r="CO98" s="8" t="n">
        <v>0</v>
      </c>
      <c r="CP98" s="8" t="n">
        <v>0</v>
      </c>
    </row>
    <row r="99">
      <c r="A99" s="4" t="s">
        <v>1</v>
      </c>
      <c r="B99" s="6" t="s">
        <v>99</v>
      </c>
      <c r="C99" s="6" t="s">
        <v>100</v>
      </c>
      <c r="D99" s="6" t="s">
        <v>101</v>
      </c>
      <c r="E99" s="6" t="s">
        <v>102</v>
      </c>
      <c r="F99" s="6" t="s">
        <v>103</v>
      </c>
      <c r="G99" s="6" t="s">
        <v>104</v>
      </c>
      <c r="H99" s="6" t="s">
        <v>105</v>
      </c>
      <c r="I99" s="6" t="s">
        <v>106</v>
      </c>
      <c r="J99" s="6" t="s">
        <v>107</v>
      </c>
      <c r="K99" s="6" t="s">
        <v>108</v>
      </c>
      <c r="L99" s="6" t="s">
        <v>109</v>
      </c>
      <c r="M99" s="6" t="s">
        <v>110</v>
      </c>
      <c r="N99" s="6" t="s">
        <v>111</v>
      </c>
      <c r="O99" s="6" t="s">
        <v>112</v>
      </c>
      <c r="P99" s="6" t="s">
        <v>113</v>
      </c>
      <c r="Q99" s="6" t="s">
        <v>114</v>
      </c>
      <c r="R99" s="6" t="s">
        <v>115</v>
      </c>
      <c r="S99" s="6" t="s">
        <v>116</v>
      </c>
      <c r="T99" s="6" t="s">
        <v>117</v>
      </c>
      <c r="U99" s="6" t="s">
        <v>118</v>
      </c>
      <c r="V99" s="6" t="s">
        <v>119</v>
      </c>
      <c r="W99" s="6" t="s">
        <v>120</v>
      </c>
      <c r="X99" s="6" t="s">
        <v>121</v>
      </c>
      <c r="Y99" s="6" t="s">
        <v>122</v>
      </c>
      <c r="Z99" s="6" t="s">
        <v>123</v>
      </c>
      <c r="AA99" s="6" t="s">
        <v>124</v>
      </c>
      <c r="AB99" s="6" t="s">
        <v>125</v>
      </c>
      <c r="AC99" s="6" t="s">
        <v>126</v>
      </c>
      <c r="AD99" s="6" t="s">
        <v>127</v>
      </c>
      <c r="AE99" s="6" t="s">
        <v>128</v>
      </c>
      <c r="AF99" s="6" t="s">
        <v>129</v>
      </c>
      <c r="AG99" s="6" t="s">
        <v>130</v>
      </c>
      <c r="AH99" s="6" t="s">
        <v>131</v>
      </c>
      <c r="AI99" s="6" t="s">
        <v>132</v>
      </c>
      <c r="AJ99" s="6" t="s">
        <v>133</v>
      </c>
      <c r="AK99" s="6" t="s">
        <v>134</v>
      </c>
      <c r="AL99" s="6" t="s">
        <v>135</v>
      </c>
      <c r="AM99" s="6" t="s">
        <v>136</v>
      </c>
      <c r="AN99" s="6" t="s">
        <v>137</v>
      </c>
      <c r="AO99" s="6" t="s">
        <v>138</v>
      </c>
      <c r="AP99" s="6" t="s">
        <v>139</v>
      </c>
      <c r="AQ99" s="6" t="s">
        <v>140</v>
      </c>
      <c r="AR99" s="6" t="s">
        <v>141</v>
      </c>
      <c r="AS99" s="6" t="s">
        <v>142</v>
      </c>
      <c r="AT99" s="6" t="s">
        <v>143</v>
      </c>
      <c r="AU99" s="6" t="s">
        <v>144</v>
      </c>
      <c r="AV99" s="6" t="s">
        <v>145</v>
      </c>
      <c r="AW99" s="6" t="s">
        <v>146</v>
      </c>
      <c r="AX99" s="6" t="s">
        <v>147</v>
      </c>
      <c r="AY99" s="6" t="s">
        <v>148</v>
      </c>
      <c r="AZ99" s="6" t="s">
        <v>149</v>
      </c>
      <c r="BA99" s="6" t="s">
        <v>150</v>
      </c>
      <c r="BB99" s="6" t="s">
        <v>151</v>
      </c>
      <c r="BC99" s="6" t="s">
        <v>152</v>
      </c>
      <c r="BD99" s="6" t="s">
        <v>153</v>
      </c>
      <c r="BE99" s="6" t="s">
        <v>154</v>
      </c>
      <c r="BF99" s="6" t="s">
        <v>155</v>
      </c>
      <c r="BG99" s="6" t="s">
        <v>156</v>
      </c>
      <c r="BH99" s="6" t="s">
        <v>157</v>
      </c>
      <c r="BI99" s="6" t="s">
        <v>158</v>
      </c>
      <c r="BJ99" s="6" t="s">
        <v>159</v>
      </c>
      <c r="BK99" s="6" t="s">
        <v>160</v>
      </c>
      <c r="BL99" s="6" t="s">
        <v>161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 t="s">
        <v>167</v>
      </c>
      <c r="BS99" s="6" t="s">
        <v>168</v>
      </c>
      <c r="BT99" s="6" t="s">
        <v>169</v>
      </c>
      <c r="BU99" s="6" t="s">
        <v>170</v>
      </c>
      <c r="BV99" s="6" t="s">
        <v>171</v>
      </c>
      <c r="BW99" s="6" t="s">
        <v>172</v>
      </c>
      <c r="BX99" s="6" t="s">
        <v>173</v>
      </c>
      <c r="BY99" s="6" t="s">
        <v>174</v>
      </c>
      <c r="BZ99" s="6" t="s">
        <v>175</v>
      </c>
      <c r="CA99" s="6" t="s">
        <v>176</v>
      </c>
      <c r="CB99" s="6" t="s">
        <v>177</v>
      </c>
      <c r="CC99" s="6" t="s">
        <v>178</v>
      </c>
      <c r="CD99" s="6" t="s">
        <v>179</v>
      </c>
      <c r="CE99" s="6" t="s">
        <v>180</v>
      </c>
      <c r="CF99" s="6" t="s">
        <v>109</v>
      </c>
      <c r="CG99" s="6" t="s">
        <v>181</v>
      </c>
      <c r="CH99" s="6" t="s">
        <v>166</v>
      </c>
      <c r="CI99" s="6" t="s">
        <v>182</v>
      </c>
      <c r="CJ99" s="6" t="s">
        <v>183</v>
      </c>
      <c r="CK99" s="6" t="s">
        <v>184</v>
      </c>
      <c r="CL99" s="6" t="s">
        <v>185</v>
      </c>
      <c r="CM99" s="6" t="s">
        <v>160</v>
      </c>
      <c r="CN99" s="6" t="s">
        <v>186</v>
      </c>
      <c r="CO99" s="6" t="s">
        <v>187</v>
      </c>
      <c r="CP99" s="6" t="s">
        <v>188</v>
      </c>
    </row>
    <row r="101">
      <c r="A101" s="4" t="s">
        <v>189</v>
      </c>
      <c r="B101" s="9" t="n">
        <f aca="false">SUM(B98:CP98)</f>
        <v>0</v>
      </c>
    </row>
    <row r="103">
      <c r="A103" s="10" t="s">
        <v>190</v>
      </c>
    </row>
    <row r="104">
      <c r="A104" s="10" t="s">
        <v>191</v>
      </c>
    </row>
    <row r="105">
      <c r="A105" s="10" t="s">
        <v>192</v>
      </c>
    </row>
    <row r="106">
      <c r="A106" s="10" t="s">
        <v>193</v>
      </c>
    </row>
    <row r="107">
      <c r="A107" s="10" t="s">
        <v>194</v>
      </c>
    </row>
    <row r="108">
      <c r="A108" s="10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6"/>
  <sheetViews>
    <sheetView workbookViewId="0">
      <selection activeCell="A1" sqref="A1"/>
    </sheetView>
  </sheetViews>
  <sheetFormatPr defaultColWidth="8.6796875" defaultRowHeight="15"/>
  <cols>
    <col min="1" max="1" width="6" customWidth="true"/>
    <col min="2" max="2" width="18" customWidth="true"/>
    <col min="3" max="3" width="7" customWidth="true"/>
    <col min="4" max="8" width="17" customWidth="true"/>
    <col min="9" max="9" width="46" customWidth="true"/>
  </cols>
  <sheetData>
    <row r="1">
      <c r="A1" s="1" t="s">
        <v>196</v>
      </c>
    </row>
    <row r="3">
      <c r="A3" s="3" t="s">
        <v>197</v>
      </c>
      <c r="B3" s="3" t="s">
        <v>1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</row>
    <row r="4">
      <c r="A4" s="5" t="n">
        <v>1</v>
      </c>
      <c r="B4" s="4" t="s">
        <v>205</v>
      </c>
      <c r="C4" s="5" t="s">
        <v>206</v>
      </c>
      <c r="D4" s="5" t="n">
        <v>8478072</v>
      </c>
      <c r="E4" s="5" t="n">
        <v>40.662712</v>
      </c>
      <c r="F4" s="5" t="n">
        <v>-73.938677</v>
      </c>
      <c r="G4" s="5" t="n">
        <v>9</v>
      </c>
      <c r="H4" s="5" t="n">
        <v>0</v>
      </c>
      <c r="I4" s="4" t="s">
        <v>207</v>
      </c>
    </row>
    <row r="5">
      <c r="A5" s="5" t="n">
        <v>2</v>
      </c>
      <c r="B5" s="4" t="s">
        <v>208</v>
      </c>
      <c r="C5" s="5" t="s">
        <v>209</v>
      </c>
      <c r="D5" s="5" t="n">
        <v>3878704</v>
      </c>
      <c r="E5" s="5" t="n">
        <v>34.019394</v>
      </c>
      <c r="F5" s="5" t="n">
        <v>-118.410825</v>
      </c>
      <c r="G5" s="5" t="n">
        <v>14</v>
      </c>
      <c r="H5" s="5" t="n">
        <v>0</v>
      </c>
      <c r="I5" s="4" t="s">
        <v>210</v>
      </c>
    </row>
    <row r="6">
      <c r="A6" s="5" t="n">
        <v>3</v>
      </c>
      <c r="B6" s="4" t="s">
        <v>211</v>
      </c>
      <c r="C6" s="5" t="s">
        <v>212</v>
      </c>
      <c r="D6" s="5" t="n">
        <v>2721308</v>
      </c>
      <c r="E6" s="5" t="n">
        <v>41.837045</v>
      </c>
      <c r="F6" s="5" t="n">
        <v>-87.684939</v>
      </c>
      <c r="G6" s="5" t="n">
        <v>11</v>
      </c>
      <c r="H6" s="5" t="n">
        <v>0</v>
      </c>
      <c r="I6" s="4" t="s">
        <v>213</v>
      </c>
    </row>
    <row r="7">
      <c r="A7" s="5" t="n">
        <v>4</v>
      </c>
      <c r="B7" s="4" t="s">
        <v>214</v>
      </c>
      <c r="C7" s="5" t="s">
        <v>215</v>
      </c>
      <c r="D7" s="5" t="n">
        <v>2390125</v>
      </c>
      <c r="E7" s="5" t="n">
        <v>29.785743</v>
      </c>
      <c r="F7" s="5" t="n">
        <v>-95.388806</v>
      </c>
      <c r="G7" s="5" t="n">
        <v>11</v>
      </c>
      <c r="H7" s="5" t="n">
        <v>0</v>
      </c>
      <c r="I7" s="4" t="s">
        <v>216</v>
      </c>
    </row>
    <row r="8">
      <c r="A8" s="5" t="n">
        <v>5</v>
      </c>
      <c r="B8" s="4" t="s">
        <v>217</v>
      </c>
      <c r="C8" s="5" t="s">
        <v>218</v>
      </c>
      <c r="D8" s="5" t="n">
        <v>1673164</v>
      </c>
      <c r="E8" s="5" t="n">
        <v>33.572154</v>
      </c>
      <c r="F8" s="5" t="n">
        <v>-112.090132</v>
      </c>
      <c r="G8" s="5" t="n">
        <v>11</v>
      </c>
      <c r="H8" s="5" t="n">
        <v>0</v>
      </c>
      <c r="I8" s="4" t="s">
        <v>219</v>
      </c>
    </row>
    <row r="9">
      <c r="A9" s="5" t="n">
        <v>6</v>
      </c>
      <c r="B9" s="4" t="s">
        <v>220</v>
      </c>
      <c r="C9" s="5" t="s">
        <v>221</v>
      </c>
      <c r="D9" s="5" t="n">
        <v>1573916</v>
      </c>
      <c r="E9" s="5" t="n">
        <v>40.009376</v>
      </c>
      <c r="F9" s="5" t="n">
        <v>-75.133346</v>
      </c>
      <c r="G9" s="5" t="n">
        <v>11</v>
      </c>
      <c r="H9" s="5" t="n">
        <v>1</v>
      </c>
      <c r="I9" s="4" t="s">
        <v>222</v>
      </c>
    </row>
    <row r="10">
      <c r="A10" s="5" t="n">
        <v>7</v>
      </c>
      <c r="B10" s="4" t="s">
        <v>223</v>
      </c>
      <c r="C10" s="5" t="s">
        <v>215</v>
      </c>
      <c r="D10" s="5" t="n">
        <v>1526656</v>
      </c>
      <c r="E10" s="5" t="n">
        <v>29.462809</v>
      </c>
      <c r="F10" s="5" t="n">
        <v>-98.524635</v>
      </c>
      <c r="G10" s="5" t="n">
        <v>11</v>
      </c>
      <c r="H10" s="5" t="n">
        <v>0</v>
      </c>
      <c r="I10" s="4" t="s">
        <v>224</v>
      </c>
    </row>
    <row r="11">
      <c r="A11" s="5" t="n">
        <v>8</v>
      </c>
      <c r="B11" s="4" t="s">
        <v>225</v>
      </c>
      <c r="C11" s="5" t="s">
        <v>209</v>
      </c>
      <c r="D11" s="5" t="n">
        <v>1404452</v>
      </c>
      <c r="E11" s="5" t="n">
        <v>32.814977</v>
      </c>
      <c r="F11" s="5" t="n">
        <v>-117.135562</v>
      </c>
      <c r="G11" s="5" t="n">
        <v>14</v>
      </c>
      <c r="H11" s="5" t="n">
        <v>0</v>
      </c>
      <c r="I11" s="4" t="s">
        <v>226</v>
      </c>
    </row>
    <row r="12">
      <c r="A12" s="5" t="n">
        <v>9</v>
      </c>
      <c r="B12" s="4" t="s">
        <v>227</v>
      </c>
      <c r="C12" s="5" t="s">
        <v>215</v>
      </c>
      <c r="D12" s="5" t="n">
        <v>1326087</v>
      </c>
      <c r="E12" s="5" t="n">
        <v>32.793333</v>
      </c>
      <c r="F12" s="5" t="n">
        <v>-96.766513</v>
      </c>
      <c r="G12" s="5" t="n">
        <v>11</v>
      </c>
      <c r="H12" s="5" t="n">
        <v>0</v>
      </c>
      <c r="I12" s="4" t="s">
        <v>228</v>
      </c>
    </row>
    <row r="13">
      <c r="A13" s="5" t="n">
        <v>10</v>
      </c>
      <c r="B13" s="4" t="s">
        <v>229</v>
      </c>
      <c r="C13" s="5" t="s">
        <v>230</v>
      </c>
      <c r="D13" s="5" t="n">
        <v>1009833</v>
      </c>
      <c r="E13" s="5" t="n">
        <v>30.336864</v>
      </c>
      <c r="F13" s="5" t="n">
        <v>-81.661603</v>
      </c>
      <c r="G13" s="5" t="n">
        <v>6</v>
      </c>
      <c r="H13" s="5" t="n">
        <v>0</v>
      </c>
      <c r="I13" s="4" t="s">
        <v>231</v>
      </c>
    </row>
    <row r="14">
      <c r="A14" s="5" t="n">
        <v>11</v>
      </c>
      <c r="B14" s="4" t="s">
        <v>232</v>
      </c>
      <c r="C14" s="5" t="s">
        <v>215</v>
      </c>
      <c r="D14" s="5" t="n">
        <v>1008106</v>
      </c>
      <c r="E14" s="5" t="n">
        <v>32.781954</v>
      </c>
      <c r="F14" s="5" t="n">
        <v>-97.348573</v>
      </c>
      <c r="G14" s="5" t="n">
        <v>12</v>
      </c>
      <c r="H14" s="5" t="n">
        <v>0</v>
      </c>
      <c r="I14" s="4" t="s">
        <v>233</v>
      </c>
    </row>
    <row r="15">
      <c r="A15" s="5" t="n">
        <v>12</v>
      </c>
      <c r="B15" s="4" t="s">
        <v>234</v>
      </c>
      <c r="C15" s="5" t="s">
        <v>209</v>
      </c>
      <c r="D15" s="5" t="n">
        <v>997368</v>
      </c>
      <c r="E15" s="5" t="n">
        <v>37.296011</v>
      </c>
      <c r="F15" s="5" t="n">
        <v>-121.814552</v>
      </c>
      <c r="G15" s="5" t="n">
        <v>9</v>
      </c>
      <c r="H15" s="5" t="n">
        <v>0</v>
      </c>
      <c r="I15" s="4" t="s">
        <v>235</v>
      </c>
    </row>
    <row r="16">
      <c r="A16" s="5" t="n">
        <v>13</v>
      </c>
      <c r="B16" s="4" t="s">
        <v>236</v>
      </c>
      <c r="C16" s="5" t="s">
        <v>215</v>
      </c>
      <c r="D16" s="5" t="n">
        <v>993588</v>
      </c>
      <c r="E16" s="5" t="n">
        <v>30.298622</v>
      </c>
      <c r="F16" s="5" t="n">
        <v>-97.754134</v>
      </c>
      <c r="G16" s="5" t="n">
        <v>11</v>
      </c>
      <c r="H16" s="5" t="n">
        <v>1</v>
      </c>
      <c r="I16" s="4" t="s">
        <v>237</v>
      </c>
    </row>
    <row r="17">
      <c r="A17" s="5" t="n">
        <v>14</v>
      </c>
      <c r="B17" s="4" t="s">
        <v>238</v>
      </c>
      <c r="C17" s="5" t="s">
        <v>239</v>
      </c>
      <c r="D17" s="5" t="n">
        <v>943476</v>
      </c>
      <c r="E17" s="5" t="n">
        <v>35.209045</v>
      </c>
      <c r="F17" s="5" t="n">
        <v>-80.83099</v>
      </c>
      <c r="G17" s="5" t="n">
        <v>9</v>
      </c>
      <c r="H17" s="5" t="n">
        <v>0</v>
      </c>
      <c r="I17" s="4" t="s">
        <v>240</v>
      </c>
    </row>
    <row r="18">
      <c r="A18" s="5" t="n">
        <v>15</v>
      </c>
      <c r="B18" s="4" t="s">
        <v>241</v>
      </c>
      <c r="C18" s="5" t="s">
        <v>242</v>
      </c>
      <c r="D18" s="5" t="n">
        <v>933263</v>
      </c>
      <c r="E18" s="5" t="n">
        <v>39.983938</v>
      </c>
      <c r="F18" s="5" t="n">
        <v>-82.984882</v>
      </c>
      <c r="G18" s="5" t="n">
        <v>12</v>
      </c>
      <c r="H18" s="5" t="n">
        <v>0</v>
      </c>
      <c r="I18" s="4" t="s">
        <v>243</v>
      </c>
    </row>
    <row r="19">
      <c r="A19" s="5" t="n">
        <v>16</v>
      </c>
      <c r="B19" s="4" t="s">
        <v>244</v>
      </c>
      <c r="C19" s="5" t="s">
        <v>245</v>
      </c>
      <c r="D19" s="5" t="n">
        <v>891484</v>
      </c>
      <c r="E19" s="5" t="n">
        <v>39.776664</v>
      </c>
      <c r="F19" s="5" t="n">
        <v>-86.145935</v>
      </c>
      <c r="G19" s="5" t="n">
        <v>14</v>
      </c>
      <c r="H19" s="5" t="n">
        <v>1</v>
      </c>
      <c r="I19" s="4" t="s">
        <v>246</v>
      </c>
    </row>
    <row r="20">
      <c r="A20" s="5" t="n">
        <v>17</v>
      </c>
      <c r="B20" s="4" t="s">
        <v>247</v>
      </c>
      <c r="C20" s="5" t="s">
        <v>209</v>
      </c>
      <c r="D20" s="5" t="n">
        <v>827526</v>
      </c>
      <c r="E20" s="5" t="n">
        <v>37.727239</v>
      </c>
      <c r="F20" s="5" t="n">
        <v>-123.032229</v>
      </c>
      <c r="G20" s="5" t="n">
        <v>8</v>
      </c>
      <c r="H20" s="5" t="n">
        <v>0</v>
      </c>
      <c r="I20" s="4" t="s">
        <v>248</v>
      </c>
    </row>
    <row r="21">
      <c r="A21" s="5" t="n">
        <v>18</v>
      </c>
      <c r="B21" s="4" t="s">
        <v>249</v>
      </c>
      <c r="C21" s="5" t="s">
        <v>250</v>
      </c>
      <c r="D21" s="5" t="n">
        <v>780995</v>
      </c>
      <c r="E21" s="5" t="n">
        <v>47.619335</v>
      </c>
      <c r="F21" s="5" t="n">
        <v>-122.351538</v>
      </c>
      <c r="G21" s="5" t="n">
        <v>2</v>
      </c>
      <c r="H21" s="5" t="n">
        <v>0</v>
      </c>
      <c r="I21" s="4" t="s">
        <v>251</v>
      </c>
    </row>
    <row r="22">
      <c r="A22" s="5" t="n">
        <v>19</v>
      </c>
      <c r="B22" s="4" t="s">
        <v>252</v>
      </c>
      <c r="C22" s="5" t="s">
        <v>253</v>
      </c>
      <c r="D22" s="5" t="n">
        <v>729019</v>
      </c>
      <c r="E22" s="5" t="n">
        <v>39.76185</v>
      </c>
      <c r="F22" s="5" t="n">
        <v>-104.881105</v>
      </c>
      <c r="G22" s="5" t="n">
        <v>3</v>
      </c>
      <c r="H22" s="5" t="n">
        <v>0</v>
      </c>
      <c r="I22" s="4" t="s">
        <v>254</v>
      </c>
    </row>
    <row r="23">
      <c r="A23" s="5" t="n">
        <v>20</v>
      </c>
      <c r="B23" s="4" t="s">
        <v>255</v>
      </c>
      <c r="C23" s="5" t="s">
        <v>256</v>
      </c>
      <c r="D23" s="5" t="n">
        <v>712919</v>
      </c>
      <c r="E23" s="5" t="n">
        <v>35.467079</v>
      </c>
      <c r="F23" s="5" t="n">
        <v>-97.513657</v>
      </c>
      <c r="G23" s="5" t="n">
        <v>10</v>
      </c>
      <c r="H23" s="5" t="n">
        <v>1</v>
      </c>
      <c r="I23" s="4" t="s">
        <v>257</v>
      </c>
    </row>
    <row r="24">
      <c r="A24" s="5" t="n">
        <v>21</v>
      </c>
      <c r="B24" s="4" t="s">
        <v>258</v>
      </c>
      <c r="C24" s="5" t="s">
        <v>259</v>
      </c>
      <c r="D24" s="5" t="n">
        <v>704963</v>
      </c>
      <c r="E24" s="5" t="n">
        <v>36.1718</v>
      </c>
      <c r="F24" s="5" t="n">
        <v>-86.785002</v>
      </c>
      <c r="G24" s="5" t="n">
        <v>8</v>
      </c>
      <c r="H24" s="5" t="n">
        <v>1</v>
      </c>
      <c r="I24" s="4" t="s">
        <v>260</v>
      </c>
    </row>
    <row r="25">
      <c r="A25" s="5" t="n">
        <v>22</v>
      </c>
      <c r="B25" s="4" t="s">
        <v>261</v>
      </c>
      <c r="C25" s="5" t="s">
        <v>262</v>
      </c>
      <c r="D25" s="5" t="n">
        <v>702250</v>
      </c>
      <c r="E25" s="5" t="n">
        <v>38.904247</v>
      </c>
      <c r="F25" s="5" t="n">
        <v>-77.016517</v>
      </c>
      <c r="G25" s="5" t="n">
        <v>14</v>
      </c>
      <c r="H25" s="5" t="n">
        <v>0</v>
      </c>
      <c r="I25" s="4" t="s">
        <v>263</v>
      </c>
    </row>
    <row r="26">
      <c r="A26" s="5" t="n">
        <v>23</v>
      </c>
      <c r="B26" s="4" t="s">
        <v>264</v>
      </c>
      <c r="C26" s="5" t="s">
        <v>215</v>
      </c>
      <c r="D26" s="5" t="n">
        <v>681723</v>
      </c>
      <c r="E26" s="5" t="n">
        <v>31.84778</v>
      </c>
      <c r="F26" s="5" t="n">
        <v>-106.431106</v>
      </c>
      <c r="G26" s="5" t="n">
        <v>4</v>
      </c>
      <c r="H26" s="5" t="n">
        <v>0</v>
      </c>
      <c r="I26" s="4" t="s">
        <v>265</v>
      </c>
    </row>
    <row r="27">
      <c r="A27" s="5" t="n">
        <v>24</v>
      </c>
      <c r="B27" s="4" t="s">
        <v>266</v>
      </c>
      <c r="C27" s="5" t="s">
        <v>267</v>
      </c>
      <c r="D27" s="5" t="n">
        <v>678922</v>
      </c>
      <c r="E27" s="5" t="n">
        <v>36.233499</v>
      </c>
      <c r="F27" s="5" t="n">
        <v>-115.264037</v>
      </c>
      <c r="G27" s="5" t="n">
        <v>18</v>
      </c>
      <c r="H27" s="5" t="n">
        <v>0</v>
      </c>
      <c r="I27" s="4" t="s">
        <v>268</v>
      </c>
    </row>
    <row r="28">
      <c r="A28" s="5" t="n">
        <v>25</v>
      </c>
      <c r="B28" s="4" t="s">
        <v>269</v>
      </c>
      <c r="C28" s="5" t="s">
        <v>270</v>
      </c>
      <c r="D28" s="5" t="n">
        <v>673458</v>
      </c>
      <c r="E28" s="5" t="n">
        <v>42.338551</v>
      </c>
      <c r="F28" s="5" t="n">
        <v>-71.018253</v>
      </c>
      <c r="G28" s="5" t="n">
        <v>5</v>
      </c>
      <c r="H28" s="5" t="n">
        <v>0</v>
      </c>
      <c r="I28" s="4" t="s">
        <v>271</v>
      </c>
    </row>
    <row r="29">
      <c r="A29" s="5" t="n">
        <v>26</v>
      </c>
      <c r="B29" s="4" t="s">
        <v>272</v>
      </c>
      <c r="C29" s="5" t="s">
        <v>273</v>
      </c>
      <c r="D29" s="5" t="n">
        <v>645705</v>
      </c>
      <c r="E29" s="5" t="n">
        <v>42.383037</v>
      </c>
      <c r="F29" s="5" t="n">
        <v>-83.102237</v>
      </c>
      <c r="G29" s="5" t="n">
        <v>11</v>
      </c>
      <c r="H29" s="5" t="n">
        <v>0</v>
      </c>
      <c r="I29" s="4" t="s">
        <v>274</v>
      </c>
    </row>
    <row r="30">
      <c r="A30" s="5" t="n">
        <v>27</v>
      </c>
      <c r="B30" s="4" t="s">
        <v>275</v>
      </c>
      <c r="C30" s="5" t="s">
        <v>276</v>
      </c>
      <c r="D30" s="5" t="n">
        <v>640796</v>
      </c>
      <c r="E30" s="5" t="n">
        <v>38.165376</v>
      </c>
      <c r="F30" s="5" t="n">
        <v>-85.647377</v>
      </c>
      <c r="G30" s="5" t="n">
        <v>10</v>
      </c>
      <c r="H30" s="5" t="n">
        <v>0</v>
      </c>
      <c r="I30" s="4" t="s">
        <v>277</v>
      </c>
    </row>
    <row r="31">
      <c r="A31" s="5" t="n">
        <v>28</v>
      </c>
      <c r="B31" s="4" t="s">
        <v>278</v>
      </c>
      <c r="C31" s="5" t="s">
        <v>279</v>
      </c>
      <c r="D31" s="5" t="n">
        <v>635749</v>
      </c>
      <c r="E31" s="5" t="n">
        <v>45.536951</v>
      </c>
      <c r="F31" s="5" t="n">
        <v>-122.649971</v>
      </c>
      <c r="G31" s="5" t="n">
        <v>2</v>
      </c>
      <c r="H31" s="5" t="n">
        <v>1</v>
      </c>
      <c r="I31" s="4" t="s">
        <v>280</v>
      </c>
    </row>
    <row r="32">
      <c r="A32" s="5" t="n">
        <v>29</v>
      </c>
      <c r="B32" s="4" t="s">
        <v>281</v>
      </c>
      <c r="C32" s="5" t="s">
        <v>259</v>
      </c>
      <c r="D32" s="5" t="n">
        <v>610919</v>
      </c>
      <c r="E32" s="5" t="n">
        <v>35.109164</v>
      </c>
      <c r="F32" s="5" t="n">
        <v>-89.968511</v>
      </c>
      <c r="G32" s="5" t="n">
        <v>3</v>
      </c>
      <c r="H32" s="5" t="n">
        <v>0</v>
      </c>
      <c r="I32" s="4" t="s">
        <v>282</v>
      </c>
    </row>
    <row r="33">
      <c r="A33" s="5" t="n">
        <v>30</v>
      </c>
      <c r="B33" s="4" t="s">
        <v>283</v>
      </c>
      <c r="C33" s="5" t="s">
        <v>284</v>
      </c>
      <c r="D33" s="5" t="n">
        <v>568271</v>
      </c>
      <c r="E33" s="5" t="n">
        <v>39.300032</v>
      </c>
      <c r="F33" s="5" t="n">
        <v>-76.610476</v>
      </c>
      <c r="G33" s="5" t="n">
        <v>14</v>
      </c>
      <c r="H33" s="5" t="n">
        <v>0</v>
      </c>
      <c r="I33" s="4" t="s">
        <v>285</v>
      </c>
    </row>
    <row r="34">
      <c r="A34" s="5" t="n">
        <v>31</v>
      </c>
      <c r="B34" s="4" t="s">
        <v>286</v>
      </c>
      <c r="C34" s="5" t="s">
        <v>287</v>
      </c>
      <c r="D34" s="5" t="n">
        <v>563531</v>
      </c>
      <c r="E34" s="5" t="n">
        <v>43.063348</v>
      </c>
      <c r="F34" s="5" t="n">
        <v>-87.966695</v>
      </c>
      <c r="G34" s="5" t="n">
        <v>9</v>
      </c>
      <c r="H34" s="5" t="n">
        <v>0</v>
      </c>
      <c r="I34" s="4" t="s">
        <v>288</v>
      </c>
    </row>
    <row r="35">
      <c r="A35" s="5" t="n">
        <v>32</v>
      </c>
      <c r="B35" s="4" t="s">
        <v>289</v>
      </c>
      <c r="C35" s="5" t="s">
        <v>290</v>
      </c>
      <c r="D35" s="5" t="n">
        <v>560326</v>
      </c>
      <c r="E35" s="5" t="n">
        <v>35.10478</v>
      </c>
      <c r="F35" s="5" t="n">
        <v>-106.646809</v>
      </c>
      <c r="G35" s="5" t="n">
        <v>4</v>
      </c>
      <c r="H35" s="5" t="n">
        <v>0</v>
      </c>
      <c r="I35" s="4" t="s">
        <v>291</v>
      </c>
    </row>
    <row r="36">
      <c r="A36" s="5" t="n">
        <v>33</v>
      </c>
      <c r="B36" s="4" t="s">
        <v>292</v>
      </c>
      <c r="C36" s="5" t="s">
        <v>218</v>
      </c>
      <c r="D36" s="5" t="n">
        <v>554013</v>
      </c>
      <c r="E36" s="5" t="n">
        <v>32.153036</v>
      </c>
      <c r="F36" s="5" t="n">
        <v>-110.870773</v>
      </c>
      <c r="G36" s="5" t="n">
        <v>7</v>
      </c>
      <c r="H36" s="5" t="n">
        <v>1</v>
      </c>
      <c r="I36" s="4" t="s">
        <v>293</v>
      </c>
    </row>
    <row r="37">
      <c r="A37" s="5" t="n">
        <v>34</v>
      </c>
      <c r="B37" s="4" t="s">
        <v>294</v>
      </c>
      <c r="C37" s="5" t="s">
        <v>209</v>
      </c>
      <c r="D37" s="5" t="n">
        <v>550105</v>
      </c>
      <c r="E37" s="5" t="n">
        <v>36.782684</v>
      </c>
      <c r="F37" s="5" t="n">
        <v>-119.793359</v>
      </c>
      <c r="G37" s="5" t="n">
        <v>17</v>
      </c>
      <c r="H37" s="5" t="n">
        <v>0</v>
      </c>
      <c r="I37" s="4" t="s">
        <v>295</v>
      </c>
    </row>
    <row r="38">
      <c r="A38" s="5" t="n">
        <v>35</v>
      </c>
      <c r="B38" s="4" t="s">
        <v>296</v>
      </c>
      <c r="C38" s="5" t="s">
        <v>209</v>
      </c>
      <c r="D38" s="5" t="n">
        <v>535798</v>
      </c>
      <c r="E38" s="5" t="n">
        <v>38.567694</v>
      </c>
      <c r="F38" s="5" t="n">
        <v>-121.468161</v>
      </c>
      <c r="G38" s="5" t="n">
        <v>8</v>
      </c>
      <c r="H38" s="5" t="n">
        <v>0</v>
      </c>
      <c r="I38" s="4" t="s">
        <v>297</v>
      </c>
    </row>
    <row r="39">
      <c r="A39" s="5" t="n">
        <v>36</v>
      </c>
      <c r="B39" s="4" t="s">
        <v>298</v>
      </c>
      <c r="C39" s="5" t="s">
        <v>299</v>
      </c>
      <c r="D39" s="5" t="n">
        <v>520070</v>
      </c>
      <c r="E39" s="5" t="n">
        <v>33.762909</v>
      </c>
      <c r="F39" s="5" t="n">
        <v>-84.422675</v>
      </c>
      <c r="G39" s="5" t="n">
        <v>6</v>
      </c>
      <c r="H39" s="5" t="n">
        <v>0</v>
      </c>
      <c r="I39" s="4" t="s">
        <v>300</v>
      </c>
    </row>
    <row r="40">
      <c r="A40" s="5" t="n">
        <v>37</v>
      </c>
      <c r="B40" s="4" t="s">
        <v>135</v>
      </c>
      <c r="C40" s="5" t="s">
        <v>218</v>
      </c>
      <c r="D40" s="5" t="n">
        <v>517151</v>
      </c>
      <c r="E40" s="5" t="n">
        <v>33.400626</v>
      </c>
      <c r="F40" s="5" t="n">
        <v>-111.716487</v>
      </c>
      <c r="G40" s="5" t="n">
        <v>9</v>
      </c>
      <c r="H40" s="5" t="n">
        <v>0</v>
      </c>
      <c r="I40" s="4" t="s">
        <v>301</v>
      </c>
    </row>
    <row r="41">
      <c r="A41" s="5" t="n">
        <v>38</v>
      </c>
      <c r="B41" s="4" t="s">
        <v>302</v>
      </c>
      <c r="C41" s="5" t="s">
        <v>303</v>
      </c>
      <c r="D41" s="5" t="n">
        <v>516032</v>
      </c>
      <c r="E41" s="5" t="n">
        <v>39.125155</v>
      </c>
      <c r="F41" s="5" t="n">
        <v>-94.550313</v>
      </c>
      <c r="G41" s="5" t="n">
        <v>6</v>
      </c>
      <c r="H41" s="5" t="n">
        <v>0</v>
      </c>
      <c r="I41" s="4" t="s">
        <v>304</v>
      </c>
    </row>
    <row r="42">
      <c r="A42" s="5" t="n">
        <v>39</v>
      </c>
      <c r="B42" s="4" t="s">
        <v>305</v>
      </c>
      <c r="C42" s="5" t="s">
        <v>239</v>
      </c>
      <c r="D42" s="5" t="n">
        <v>499825</v>
      </c>
      <c r="E42" s="5" t="n">
        <v>35.831868</v>
      </c>
      <c r="F42" s="5" t="n">
        <v>-78.641042</v>
      </c>
      <c r="G42" s="5" t="n">
        <v>9</v>
      </c>
      <c r="H42" s="5" t="n">
        <v>0</v>
      </c>
      <c r="I42" s="4" t="s">
        <v>306</v>
      </c>
    </row>
    <row r="43">
      <c r="A43" s="5" t="n">
        <v>40</v>
      </c>
      <c r="B43" s="4" t="s">
        <v>307</v>
      </c>
      <c r="C43" s="5" t="s">
        <v>253</v>
      </c>
      <c r="D43" s="5" t="n">
        <v>493554</v>
      </c>
      <c r="E43" s="5" t="n">
        <v>38.867255</v>
      </c>
      <c r="F43" s="5" t="n">
        <v>-104.760749</v>
      </c>
      <c r="G43" s="5" t="n">
        <v>4</v>
      </c>
      <c r="H43" s="5" t="n">
        <v>1</v>
      </c>
      <c r="I43" s="4" t="s">
        <v>308</v>
      </c>
    </row>
    <row r="44">
      <c r="A44" s="5" t="n">
        <v>41</v>
      </c>
      <c r="B44" s="4" t="s">
        <v>139</v>
      </c>
      <c r="C44" s="5" t="s">
        <v>309</v>
      </c>
      <c r="D44" s="5" t="n">
        <v>489265</v>
      </c>
      <c r="E44" s="5" t="n">
        <v>41.262705</v>
      </c>
      <c r="F44" s="5" t="n">
        <v>-96.053475</v>
      </c>
      <c r="G44" s="5" t="n">
        <v>6</v>
      </c>
      <c r="H44" s="5" t="n">
        <v>1</v>
      </c>
      <c r="I44" s="4" t="s">
        <v>310</v>
      </c>
    </row>
    <row r="45">
      <c r="A45" s="5" t="n">
        <v>42</v>
      </c>
      <c r="B45" s="4" t="s">
        <v>140</v>
      </c>
      <c r="C45" s="5" t="s">
        <v>230</v>
      </c>
      <c r="D45" s="5" t="n">
        <v>487014</v>
      </c>
      <c r="E45" s="5" t="n">
        <v>25.775163</v>
      </c>
      <c r="F45" s="5" t="n">
        <v>-80.208615</v>
      </c>
      <c r="G45" s="5" t="n">
        <v>5</v>
      </c>
      <c r="H45" s="5" t="n">
        <v>0</v>
      </c>
      <c r="I45" s="4" t="s">
        <v>311</v>
      </c>
    </row>
    <row r="46">
      <c r="A46" s="5" t="n">
        <v>43</v>
      </c>
      <c r="B46" s="4" t="s">
        <v>312</v>
      </c>
      <c r="C46" s="5" t="s">
        <v>313</v>
      </c>
      <c r="D46" s="5" t="n">
        <v>454808</v>
      </c>
      <c r="E46" s="5" t="n">
        <v>36.779525</v>
      </c>
      <c r="F46" s="5" t="n">
        <v>-76.029142</v>
      </c>
      <c r="G46" s="5" t="n">
        <v>13</v>
      </c>
      <c r="H46" s="5" t="n">
        <v>0</v>
      </c>
      <c r="I46" s="4" t="s">
        <v>314</v>
      </c>
    </row>
    <row r="47">
      <c r="A47" s="5" t="n">
        <v>44</v>
      </c>
      <c r="B47" s="4" t="s">
        <v>315</v>
      </c>
      <c r="C47" s="5" t="s">
        <v>209</v>
      </c>
      <c r="D47" s="5" t="n">
        <v>450901</v>
      </c>
      <c r="E47" s="5" t="n">
        <v>33.780791</v>
      </c>
      <c r="F47" s="5" t="n">
        <v>-118.16818</v>
      </c>
      <c r="G47" s="5" t="n">
        <v>13</v>
      </c>
      <c r="H47" s="5" t="n">
        <v>0</v>
      </c>
      <c r="I47" s="4" t="s">
        <v>316</v>
      </c>
    </row>
    <row r="48">
      <c r="A48" s="5" t="n">
        <v>45</v>
      </c>
      <c r="B48" s="4" t="s">
        <v>317</v>
      </c>
      <c r="C48" s="5" t="s">
        <v>209</v>
      </c>
      <c r="D48" s="5" t="n">
        <v>443554</v>
      </c>
      <c r="E48" s="5" t="n">
        <v>37.769846</v>
      </c>
      <c r="F48" s="5" t="n">
        <v>-122.22569</v>
      </c>
      <c r="G48" s="5" t="n">
        <v>8</v>
      </c>
      <c r="H48" s="5" t="n">
        <v>0</v>
      </c>
      <c r="I48" s="4" t="s">
        <v>318</v>
      </c>
    </row>
    <row r="49">
      <c r="A49" s="5" t="n">
        <v>46</v>
      </c>
      <c r="B49" s="4" t="s">
        <v>319</v>
      </c>
      <c r="C49" s="5" t="s">
        <v>320</v>
      </c>
      <c r="D49" s="5" t="n">
        <v>428579</v>
      </c>
      <c r="E49" s="5" t="n">
        <v>44.963324</v>
      </c>
      <c r="F49" s="5" t="n">
        <v>-93.26832</v>
      </c>
      <c r="G49" s="5" t="n">
        <v>5</v>
      </c>
      <c r="H49" s="5" t="n">
        <v>0</v>
      </c>
      <c r="I49" s="4" t="s">
        <v>321</v>
      </c>
    </row>
    <row r="50">
      <c r="A50" s="5" t="n">
        <v>47</v>
      </c>
      <c r="B50" s="4" t="s">
        <v>322</v>
      </c>
      <c r="C50" s="5" t="s">
        <v>209</v>
      </c>
      <c r="D50" s="5" t="n">
        <v>417468</v>
      </c>
      <c r="E50" s="5" t="n">
        <v>35.353171</v>
      </c>
      <c r="F50" s="5" t="n">
        <v>-119.037919</v>
      </c>
      <c r="G50" s="5" t="n">
        <v>19</v>
      </c>
      <c r="H50" s="5" t="n">
        <v>1</v>
      </c>
      <c r="I50" s="4" t="s">
        <v>323</v>
      </c>
    </row>
    <row r="51">
      <c r="A51" s="5" t="n">
        <v>48</v>
      </c>
      <c r="B51" s="4" t="s">
        <v>146</v>
      </c>
      <c r="C51" s="5" t="s">
        <v>256</v>
      </c>
      <c r="D51" s="5" t="n">
        <v>415154</v>
      </c>
      <c r="E51" s="5" t="n">
        <v>36.127949</v>
      </c>
      <c r="F51" s="5" t="n">
        <v>-95.902316</v>
      </c>
      <c r="G51" s="5" t="n">
        <v>10</v>
      </c>
      <c r="H51" s="5" t="n">
        <v>0</v>
      </c>
      <c r="I51" s="4" t="s">
        <v>324</v>
      </c>
    </row>
    <row r="52">
      <c r="A52" s="5" t="n">
        <v>49</v>
      </c>
      <c r="B52" s="4" t="s">
        <v>147</v>
      </c>
      <c r="C52" s="5" t="s">
        <v>230</v>
      </c>
      <c r="D52" s="5" t="n">
        <v>414547</v>
      </c>
      <c r="E52" s="5" t="n">
        <v>27.970086</v>
      </c>
      <c r="F52" s="5" t="n">
        <v>-82.479673</v>
      </c>
      <c r="G52" s="5" t="n">
        <v>6</v>
      </c>
      <c r="H52" s="5" t="n">
        <v>0</v>
      </c>
      <c r="I52" s="4" t="s">
        <v>325</v>
      </c>
    </row>
    <row r="53">
      <c r="A53" s="5" t="n">
        <v>50</v>
      </c>
      <c r="B53" s="4" t="s">
        <v>326</v>
      </c>
      <c r="C53" s="5" t="s">
        <v>215</v>
      </c>
      <c r="D53" s="5" t="n">
        <v>403672</v>
      </c>
      <c r="E53" s="5" t="n">
        <v>32.700708</v>
      </c>
      <c r="F53" s="5" t="n">
        <v>-97.124691</v>
      </c>
      <c r="G53" s="5" t="n">
        <v>12</v>
      </c>
      <c r="H53" s="5" t="n">
        <v>0</v>
      </c>
      <c r="I53" s="4" t="s">
        <v>327</v>
      </c>
    </row>
    <row r="54">
      <c r="A54" s="5" t="n">
        <v>51</v>
      </c>
      <c r="B54" s="4" t="s">
        <v>328</v>
      </c>
      <c r="C54" s="5" t="s">
        <v>253</v>
      </c>
      <c r="D54" s="5" t="n">
        <v>403130</v>
      </c>
      <c r="E54" s="5" t="n">
        <v>39.709537</v>
      </c>
      <c r="F54" s="5" t="n">
        <v>-104.720509</v>
      </c>
      <c r="G54" s="5" t="n">
        <v>3</v>
      </c>
      <c r="H54" s="5" t="n">
        <v>0</v>
      </c>
      <c r="I54" s="4" t="s">
        <v>329</v>
      </c>
    </row>
    <row r="55">
      <c r="A55" s="5" t="n">
        <v>52</v>
      </c>
      <c r="B55" s="4" t="s">
        <v>330</v>
      </c>
      <c r="C55" s="5" t="s">
        <v>331</v>
      </c>
      <c r="D55" s="5" t="n">
        <v>400991</v>
      </c>
      <c r="E55" s="5" t="n">
        <v>37.690638</v>
      </c>
      <c r="F55" s="5" t="n">
        <v>-97.345836</v>
      </c>
      <c r="G55" s="5" t="n">
        <v>6</v>
      </c>
      <c r="H55" s="5" t="n">
        <v>0</v>
      </c>
      <c r="I55" s="4" t="s">
        <v>332</v>
      </c>
    </row>
    <row r="56">
      <c r="A56" s="5" t="n">
        <v>53</v>
      </c>
      <c r="B56" s="4" t="s">
        <v>333</v>
      </c>
      <c r="C56" s="5" t="s">
        <v>242</v>
      </c>
      <c r="D56" s="5" t="n">
        <v>365379</v>
      </c>
      <c r="E56" s="5" t="n">
        <v>41.478462</v>
      </c>
      <c r="F56" s="5" t="n">
        <v>-81.679435</v>
      </c>
      <c r="G56" s="5" t="n">
        <v>10</v>
      </c>
      <c r="H56" s="5" t="n">
        <v>0</v>
      </c>
      <c r="I56" s="4" t="s">
        <v>334</v>
      </c>
    </row>
    <row r="57">
      <c r="A57" s="5" t="n">
        <v>54</v>
      </c>
      <c r="B57" s="4" t="s">
        <v>335</v>
      </c>
      <c r="C57" s="5" t="s">
        <v>336</v>
      </c>
      <c r="D57" s="5" t="n">
        <v>362701</v>
      </c>
      <c r="E57" s="5" t="n">
        <v>30.05342</v>
      </c>
      <c r="F57" s="5" t="n">
        <v>-89.934502</v>
      </c>
      <c r="G57" s="5" t="n">
        <v>1</v>
      </c>
      <c r="H57" s="5" t="n">
        <v>1</v>
      </c>
      <c r="I57" s="4" t="s">
        <v>337</v>
      </c>
    </row>
    <row r="58">
      <c r="A58" s="5" t="n">
        <v>55</v>
      </c>
      <c r="B58" s="4" t="s">
        <v>338</v>
      </c>
      <c r="C58" s="5" t="s">
        <v>267</v>
      </c>
      <c r="D58" s="5" t="n">
        <v>350039</v>
      </c>
      <c r="E58" s="5" t="n">
        <v>36.008958</v>
      </c>
      <c r="F58" s="5" t="n">
        <v>-115.0268</v>
      </c>
      <c r="G58" s="5" t="n">
        <v>18</v>
      </c>
      <c r="H58" s="5" t="n">
        <v>0</v>
      </c>
      <c r="I58" s="4" t="s">
        <v>339</v>
      </c>
    </row>
    <row r="59">
      <c r="A59" s="5" t="n">
        <v>56</v>
      </c>
      <c r="B59" s="4" t="s">
        <v>340</v>
      </c>
      <c r="C59" s="5" t="s">
        <v>341</v>
      </c>
      <c r="D59" s="5" t="n">
        <v>344967</v>
      </c>
      <c r="E59" s="5" t="n">
        <v>21.324347</v>
      </c>
      <c r="F59" s="5" t="n">
        <v>-157.84764</v>
      </c>
      <c r="G59" s="5" t="n">
        <v>1</v>
      </c>
      <c r="H59" s="5" t="n">
        <v>1</v>
      </c>
      <c r="I59" s="4" t="s">
        <v>342</v>
      </c>
    </row>
    <row r="60">
      <c r="A60" s="5" t="n">
        <v>57</v>
      </c>
      <c r="B60" s="4" t="s">
        <v>343</v>
      </c>
      <c r="C60" s="5" t="s">
        <v>209</v>
      </c>
      <c r="D60" s="5" t="n">
        <v>344561</v>
      </c>
      <c r="E60" s="5" t="n">
        <v>33.855502</v>
      </c>
      <c r="F60" s="5" t="n">
        <v>-117.758657</v>
      </c>
      <c r="G60" s="5" t="n">
        <v>13</v>
      </c>
      <c r="H60" s="5" t="n">
        <v>0</v>
      </c>
      <c r="I60" s="4" t="s">
        <v>344</v>
      </c>
    </row>
    <row r="61">
      <c r="A61" s="5" t="n">
        <v>58</v>
      </c>
      <c r="B61" s="4" t="s">
        <v>345</v>
      </c>
      <c r="C61" s="5" t="s">
        <v>230</v>
      </c>
      <c r="D61" s="5" t="n">
        <v>334854</v>
      </c>
      <c r="E61" s="5" t="n">
        <v>28.40865</v>
      </c>
      <c r="F61" s="5" t="n">
        <v>-81.254805</v>
      </c>
      <c r="G61" s="5" t="n">
        <v>6</v>
      </c>
      <c r="H61" s="5" t="n">
        <v>0</v>
      </c>
      <c r="I61" s="4" t="s">
        <v>346</v>
      </c>
    </row>
    <row r="62">
      <c r="A62" s="5" t="n">
        <v>59</v>
      </c>
      <c r="B62" s="4" t="s">
        <v>347</v>
      </c>
      <c r="C62" s="5" t="s">
        <v>276</v>
      </c>
      <c r="D62" s="5" t="n">
        <v>329437</v>
      </c>
      <c r="E62" s="5" t="n">
        <v>38.040678</v>
      </c>
      <c r="F62" s="5" t="n">
        <v>-84.458272</v>
      </c>
      <c r="G62" s="5" t="n">
        <v>14</v>
      </c>
      <c r="H62" s="5" t="n">
        <v>0</v>
      </c>
      <c r="I62" s="4" t="s">
        <v>348</v>
      </c>
    </row>
    <row r="63">
      <c r="A63" s="5" t="n">
        <v>60</v>
      </c>
      <c r="B63" s="4" t="s">
        <v>349</v>
      </c>
      <c r="C63" s="5" t="s">
        <v>209</v>
      </c>
      <c r="D63" s="5" t="n">
        <v>324975</v>
      </c>
      <c r="E63" s="5" t="n">
        <v>37.976553</v>
      </c>
      <c r="F63" s="5" t="n">
        <v>-121.308598</v>
      </c>
      <c r="G63" s="5" t="n">
        <v>8</v>
      </c>
      <c r="H63" s="5" t="n">
        <v>0</v>
      </c>
      <c r="I63" s="4" t="s">
        <v>350</v>
      </c>
    </row>
    <row r="64">
      <c r="A64" s="5" t="n">
        <v>61</v>
      </c>
      <c r="B64" s="4" t="s">
        <v>351</v>
      </c>
      <c r="C64" s="5" t="s">
        <v>209</v>
      </c>
      <c r="D64" s="5" t="n">
        <v>323757</v>
      </c>
      <c r="E64" s="5" t="n">
        <v>33.938143</v>
      </c>
      <c r="F64" s="5" t="n">
        <v>-117.393168</v>
      </c>
      <c r="G64" s="5" t="n">
        <v>13</v>
      </c>
      <c r="H64" s="5" t="n">
        <v>0</v>
      </c>
      <c r="I64" s="4" t="s">
        <v>352</v>
      </c>
    </row>
    <row r="65">
      <c r="A65" s="5" t="n">
        <v>62</v>
      </c>
      <c r="B65" s="4" t="s">
        <v>353</v>
      </c>
      <c r="C65" s="5" t="s">
        <v>209</v>
      </c>
      <c r="D65" s="5" t="n">
        <v>318683</v>
      </c>
      <c r="E65" s="5" t="n">
        <v>33.678399</v>
      </c>
      <c r="F65" s="5" t="n">
        <v>-117.771254</v>
      </c>
      <c r="G65" s="5" t="n">
        <v>13</v>
      </c>
      <c r="H65" s="5" t="n">
        <v>0</v>
      </c>
      <c r="I65" s="4" t="s">
        <v>354</v>
      </c>
    </row>
    <row r="66">
      <c r="A66" s="5" t="n">
        <v>63</v>
      </c>
      <c r="B66" s="4" t="s">
        <v>355</v>
      </c>
      <c r="C66" s="5" t="s">
        <v>215</v>
      </c>
      <c r="D66" s="5" t="n">
        <v>317317</v>
      </c>
      <c r="E66" s="5" t="n">
        <v>27.754252</v>
      </c>
      <c r="F66" s="5" t="n">
        <v>-97.173385</v>
      </c>
      <c r="G66" s="5" t="n">
        <v>5</v>
      </c>
      <c r="H66" s="5" t="n">
        <v>0</v>
      </c>
      <c r="I66" s="4" t="s">
        <v>356</v>
      </c>
    </row>
    <row r="67">
      <c r="A67" s="5" t="n">
        <v>64</v>
      </c>
      <c r="B67" s="4" t="s">
        <v>357</v>
      </c>
      <c r="C67" s="5" t="s">
        <v>358</v>
      </c>
      <c r="D67" s="5" t="n">
        <v>317303</v>
      </c>
      <c r="E67" s="5" t="n">
        <v>40.72422</v>
      </c>
      <c r="F67" s="5" t="n">
        <v>-74.172574</v>
      </c>
      <c r="G67" s="5" t="n">
        <v>9</v>
      </c>
      <c r="H67" s="5" t="n">
        <v>0</v>
      </c>
      <c r="I67" s="4" t="s">
        <v>359</v>
      </c>
    </row>
    <row r="68">
      <c r="A68" s="5" t="n">
        <v>65</v>
      </c>
      <c r="B68" s="4" t="s">
        <v>360</v>
      </c>
      <c r="C68" s="5" t="s">
        <v>209</v>
      </c>
      <c r="D68" s="5" t="n">
        <v>316184</v>
      </c>
      <c r="E68" s="5" t="n">
        <v>33.736332</v>
      </c>
      <c r="F68" s="5" t="n">
        <v>-117.8829</v>
      </c>
      <c r="G68" s="5" t="n">
        <v>13</v>
      </c>
      <c r="H68" s="5" t="n">
        <v>0</v>
      </c>
      <c r="I68" s="4" t="s">
        <v>361</v>
      </c>
    </row>
    <row r="69">
      <c r="A69" s="5" t="n">
        <v>66</v>
      </c>
      <c r="B69" s="4" t="s">
        <v>362</v>
      </c>
      <c r="C69" s="5" t="s">
        <v>242</v>
      </c>
      <c r="D69" s="5" t="n">
        <v>314915</v>
      </c>
      <c r="E69" s="5" t="n">
        <v>39.140183</v>
      </c>
      <c r="F69" s="5" t="n">
        <v>-84.505829</v>
      </c>
      <c r="G69" s="5" t="n">
        <v>12</v>
      </c>
      <c r="H69" s="5" t="n">
        <v>0</v>
      </c>
      <c r="I69" s="4" t="s">
        <v>363</v>
      </c>
    </row>
    <row r="70">
      <c r="A70" s="5" t="n">
        <v>67</v>
      </c>
      <c r="B70" s="4" t="s">
        <v>364</v>
      </c>
      <c r="C70" s="5" t="s">
        <v>221</v>
      </c>
      <c r="D70" s="5" t="n">
        <v>307668</v>
      </c>
      <c r="E70" s="5" t="n">
        <v>40.439936</v>
      </c>
      <c r="F70" s="5" t="n">
        <v>-79.975676</v>
      </c>
      <c r="G70" s="5" t="n">
        <v>12</v>
      </c>
      <c r="H70" s="5" t="n">
        <v>0</v>
      </c>
      <c r="I70" s="4" t="s">
        <v>365</v>
      </c>
    </row>
    <row r="71">
      <c r="A71" s="5" t="n">
        <v>68</v>
      </c>
      <c r="B71" s="4" t="s">
        <v>366</v>
      </c>
      <c r="C71" s="5" t="s">
        <v>320</v>
      </c>
      <c r="D71" s="5" t="n">
        <v>307465</v>
      </c>
      <c r="E71" s="5" t="n">
        <v>44.948901</v>
      </c>
      <c r="F71" s="5" t="n">
        <v>-93.104063</v>
      </c>
      <c r="G71" s="5" t="n">
        <v>5</v>
      </c>
      <c r="H71" s="5" t="n">
        <v>0</v>
      </c>
      <c r="I71" s="4" t="s">
        <v>367</v>
      </c>
    </row>
    <row r="72">
      <c r="A72" s="5" t="n">
        <v>69</v>
      </c>
      <c r="B72" s="4" t="s">
        <v>368</v>
      </c>
      <c r="C72" s="5" t="s">
        <v>239</v>
      </c>
      <c r="D72" s="5" t="n">
        <v>307381</v>
      </c>
      <c r="E72" s="5" t="n">
        <v>36.09485</v>
      </c>
      <c r="F72" s="5" t="n">
        <v>-79.823624</v>
      </c>
      <c r="G72" s="5" t="n">
        <v>10</v>
      </c>
      <c r="H72" s="5" t="n">
        <v>0</v>
      </c>
      <c r="I72" s="4" t="s">
        <v>369</v>
      </c>
    </row>
    <row r="73">
      <c r="A73" s="5" t="n">
        <v>70</v>
      </c>
      <c r="B73" s="4" t="s">
        <v>370</v>
      </c>
      <c r="C73" s="5" t="s">
        <v>358</v>
      </c>
      <c r="D73" s="5" t="n">
        <v>302824</v>
      </c>
      <c r="E73" s="5" t="n">
        <v>40.711417</v>
      </c>
      <c r="F73" s="5" t="n">
        <v>-74.06476</v>
      </c>
      <c r="G73" s="5" t="n">
        <v>9</v>
      </c>
      <c r="H73" s="5" t="n">
        <v>0</v>
      </c>
      <c r="I73" s="4" t="s">
        <v>371</v>
      </c>
    </row>
    <row r="74">
      <c r="A74" s="5" t="n">
        <v>71</v>
      </c>
      <c r="B74" s="4" t="s">
        <v>372</v>
      </c>
      <c r="C74" s="5" t="s">
        <v>239</v>
      </c>
      <c r="D74" s="5" t="n">
        <v>301870</v>
      </c>
      <c r="E74" s="5" t="n">
        <v>35.977928</v>
      </c>
      <c r="F74" s="5" t="n">
        <v>-78.898109</v>
      </c>
      <c r="G74" s="5" t="n">
        <v>9</v>
      </c>
      <c r="H74" s="5" t="n">
        <v>0</v>
      </c>
      <c r="I74" s="4" t="s">
        <v>373</v>
      </c>
    </row>
    <row r="75">
      <c r="A75" s="5" t="n">
        <v>72</v>
      </c>
      <c r="B75" s="4" t="s">
        <v>374</v>
      </c>
      <c r="C75" s="5" t="s">
        <v>309</v>
      </c>
      <c r="D75" s="5" t="n">
        <v>300619</v>
      </c>
      <c r="E75" s="5" t="n">
        <v>40.810284</v>
      </c>
      <c r="F75" s="5" t="n">
        <v>-96.674856</v>
      </c>
      <c r="G75" s="5" t="n">
        <v>4</v>
      </c>
      <c r="H75" s="5" t="n">
        <v>0</v>
      </c>
      <c r="I75" s="4" t="s">
        <v>375</v>
      </c>
    </row>
    <row r="76">
      <c r="A76" s="5" t="n">
        <v>73</v>
      </c>
      <c r="B76" s="4" t="s">
        <v>376</v>
      </c>
      <c r="C76" s="5" t="s">
        <v>267</v>
      </c>
      <c r="D76" s="5" t="n">
        <v>294034</v>
      </c>
      <c r="E76" s="5" t="n">
        <v>36.289865</v>
      </c>
      <c r="F76" s="5" t="n">
        <v>-115.089181</v>
      </c>
      <c r="G76" s="5" t="n">
        <v>18</v>
      </c>
      <c r="H76" s="5" t="n">
        <v>0</v>
      </c>
      <c r="I76" s="4" t="s">
        <v>377</v>
      </c>
    </row>
    <row r="77">
      <c r="A77" s="5" t="n">
        <v>74</v>
      </c>
      <c r="B77" s="4" t="s">
        <v>172</v>
      </c>
      <c r="C77" s="5" t="s">
        <v>215</v>
      </c>
      <c r="D77" s="5" t="n">
        <v>293286</v>
      </c>
      <c r="E77" s="5" t="n">
        <v>33.050769</v>
      </c>
      <c r="F77" s="5" t="n">
        <v>-96.747944</v>
      </c>
      <c r="G77" s="5" t="n">
        <v>12</v>
      </c>
      <c r="H77" s="5" t="n">
        <v>0</v>
      </c>
      <c r="I77" s="4" t="s">
        <v>378</v>
      </c>
    </row>
    <row r="78">
      <c r="A78" s="5" t="n">
        <v>75</v>
      </c>
      <c r="B78" s="4" t="s">
        <v>379</v>
      </c>
      <c r="C78" s="5" t="s">
        <v>380</v>
      </c>
      <c r="D78" s="5" t="n">
        <v>289600</v>
      </c>
      <c r="E78" s="5" t="n">
        <v>61.17425</v>
      </c>
      <c r="F78" s="5" t="n">
        <v>-149.284329</v>
      </c>
      <c r="G78" s="5" t="n">
        <v>1</v>
      </c>
      <c r="H78" s="5" t="n">
        <v>1</v>
      </c>
      <c r="I78" s="4" t="s">
        <v>381</v>
      </c>
    </row>
    <row r="79">
      <c r="A79" s="5" t="n">
        <v>76</v>
      </c>
      <c r="B79" s="4" t="s">
        <v>382</v>
      </c>
      <c r="C79" s="5" t="s">
        <v>218</v>
      </c>
      <c r="D79" s="5" t="n">
        <v>288790</v>
      </c>
      <c r="E79" s="5" t="n">
        <v>33.310345</v>
      </c>
      <c r="F79" s="5" t="n">
        <v>-111.743121</v>
      </c>
      <c r="G79" s="5" t="n">
        <v>9</v>
      </c>
      <c r="H79" s="5" t="n">
        <v>0</v>
      </c>
      <c r="I79" s="4" t="s">
        <v>383</v>
      </c>
    </row>
    <row r="80">
      <c r="A80" s="5" t="n">
        <v>77</v>
      </c>
      <c r="B80" s="4" t="s">
        <v>384</v>
      </c>
      <c r="C80" s="5" t="s">
        <v>287</v>
      </c>
      <c r="D80" s="5" t="n">
        <v>285300</v>
      </c>
      <c r="E80" s="5" t="n">
        <v>43.087815</v>
      </c>
      <c r="F80" s="5" t="n">
        <v>-89.429856</v>
      </c>
      <c r="G80" s="5" t="n">
        <v>7</v>
      </c>
      <c r="H80" s="5" t="n">
        <v>0</v>
      </c>
      <c r="I80" s="4" t="s">
        <v>385</v>
      </c>
    </row>
    <row r="81">
      <c r="A81" s="5" t="n">
        <v>78</v>
      </c>
      <c r="B81" s="4" t="s">
        <v>176</v>
      </c>
      <c r="C81" s="5" t="s">
        <v>267</v>
      </c>
      <c r="D81" s="5" t="n">
        <v>281714</v>
      </c>
      <c r="E81" s="5" t="n">
        <v>39.549097</v>
      </c>
      <c r="F81" s="5" t="n">
        <v>-119.849907</v>
      </c>
      <c r="G81" s="5" t="n">
        <v>8</v>
      </c>
      <c r="H81" s="5" t="n">
        <v>0</v>
      </c>
      <c r="I81" s="4" t="s">
        <v>386</v>
      </c>
    </row>
    <row r="82">
      <c r="A82" s="5" t="n">
        <v>79</v>
      </c>
      <c r="B82" s="4" t="s">
        <v>387</v>
      </c>
      <c r="C82" s="5" t="s">
        <v>218</v>
      </c>
      <c r="D82" s="5" t="n">
        <v>281231</v>
      </c>
      <c r="E82" s="5" t="n">
        <v>33.282765</v>
      </c>
      <c r="F82" s="5" t="n">
        <v>-111.851819</v>
      </c>
      <c r="G82" s="5" t="n">
        <v>9</v>
      </c>
      <c r="H82" s="5" t="n">
        <v>0</v>
      </c>
      <c r="I82" s="4" t="s">
        <v>388</v>
      </c>
    </row>
    <row r="83">
      <c r="A83" s="5" t="n">
        <v>80</v>
      </c>
      <c r="B83" s="4" t="s">
        <v>389</v>
      </c>
      <c r="C83" s="5" t="s">
        <v>303</v>
      </c>
      <c r="D83" s="5" t="n">
        <v>279695</v>
      </c>
      <c r="E83" s="5" t="n">
        <v>38.635699</v>
      </c>
      <c r="F83" s="5" t="n">
        <v>-90.244582</v>
      </c>
      <c r="G83" s="5" t="n">
        <v>7</v>
      </c>
      <c r="H83" s="5" t="n">
        <v>0</v>
      </c>
      <c r="I83" s="4" t="s">
        <v>390</v>
      </c>
    </row>
    <row r="84">
      <c r="A84" s="5" t="n">
        <v>81</v>
      </c>
      <c r="B84" s="4" t="s">
        <v>391</v>
      </c>
      <c r="C84" s="5" t="s">
        <v>209</v>
      </c>
      <c r="D84" s="5" t="n">
        <v>278546</v>
      </c>
      <c r="E84" s="5" t="n">
        <v>32.62767</v>
      </c>
      <c r="F84" s="5" t="n">
        <v>-117.01517</v>
      </c>
      <c r="G84" s="5" t="n">
        <v>14</v>
      </c>
      <c r="H84" s="5" t="n">
        <v>0</v>
      </c>
      <c r="I84" s="4" t="s">
        <v>392</v>
      </c>
    </row>
    <row r="85">
      <c r="A85" s="5" t="n">
        <v>82</v>
      </c>
      <c r="B85" s="4" t="s">
        <v>393</v>
      </c>
      <c r="C85" s="5" t="s">
        <v>206</v>
      </c>
      <c r="D85" s="5" t="n">
        <v>276617</v>
      </c>
      <c r="E85" s="5" t="n">
        <v>42.892492</v>
      </c>
      <c r="F85" s="5" t="n">
        <v>-78.859686</v>
      </c>
      <c r="G85" s="5" t="n">
        <v>12</v>
      </c>
      <c r="H85" s="5" t="n">
        <v>0</v>
      </c>
      <c r="I85" s="4" t="s">
        <v>394</v>
      </c>
    </row>
    <row r="86">
      <c r="A86" s="5" t="n">
        <v>83</v>
      </c>
      <c r="B86" s="4" t="s">
        <v>395</v>
      </c>
      <c r="C86" s="5" t="s">
        <v>245</v>
      </c>
      <c r="D86" s="5" t="n">
        <v>273203</v>
      </c>
      <c r="E86" s="5" t="n">
        <v>41.088193</v>
      </c>
      <c r="F86" s="5" t="n">
        <v>-85.142791</v>
      </c>
      <c r="G86" s="5" t="n">
        <v>13</v>
      </c>
      <c r="H86" s="5" t="n">
        <v>0</v>
      </c>
      <c r="I86" s="4" t="s">
        <v>396</v>
      </c>
    </row>
    <row r="87">
      <c r="A87" s="5" t="n">
        <v>84</v>
      </c>
      <c r="B87" s="4" t="s">
        <v>397</v>
      </c>
      <c r="C87" s="5" t="s">
        <v>215</v>
      </c>
      <c r="D87" s="5" t="n">
        <v>272086</v>
      </c>
      <c r="E87" s="5" t="n">
        <v>33.561901</v>
      </c>
      <c r="F87" s="5" t="n">
        <v>-101.888883</v>
      </c>
      <c r="G87" s="5" t="n">
        <v>8</v>
      </c>
      <c r="H87" s="5" t="n">
        <v>0</v>
      </c>
      <c r="I87" s="4" t="s">
        <v>398</v>
      </c>
    </row>
    <row r="88">
      <c r="A88" s="5" t="n">
        <v>85</v>
      </c>
      <c r="B88" s="4" t="s">
        <v>399</v>
      </c>
      <c r="C88" s="5" t="s">
        <v>230</v>
      </c>
      <c r="D88" s="5" t="n">
        <v>267102</v>
      </c>
      <c r="E88" s="5" t="n">
        <v>27.762727</v>
      </c>
      <c r="F88" s="5" t="n">
        <v>-82.644131</v>
      </c>
      <c r="G88" s="5" t="n">
        <v>6</v>
      </c>
      <c r="H88" s="5" t="n">
        <v>0</v>
      </c>
      <c r="I88" s="4" t="s">
        <v>400</v>
      </c>
    </row>
    <row r="89">
      <c r="A89" s="5" t="n">
        <v>86</v>
      </c>
      <c r="B89" s="4" t="s">
        <v>401</v>
      </c>
      <c r="C89" s="5" t="s">
        <v>242</v>
      </c>
      <c r="D89" s="5" t="n">
        <v>265638</v>
      </c>
      <c r="E89" s="5" t="n">
        <v>41.664071</v>
      </c>
      <c r="F89" s="5" t="n">
        <v>-83.581861</v>
      </c>
      <c r="G89" s="5" t="n">
        <v>13</v>
      </c>
      <c r="H89" s="5" t="n">
        <v>0</v>
      </c>
      <c r="I89" s="4" t="s">
        <v>402</v>
      </c>
    </row>
    <row r="90">
      <c r="A90" s="5" t="n">
        <v>87</v>
      </c>
      <c r="B90" s="4" t="s">
        <v>403</v>
      </c>
      <c r="C90" s="5" t="s">
        <v>215</v>
      </c>
      <c r="D90" s="5" t="n">
        <v>261260</v>
      </c>
      <c r="E90" s="5" t="n">
        <v>27.560379</v>
      </c>
      <c r="F90" s="5" t="n">
        <v>-99.489181</v>
      </c>
      <c r="G90" s="5" t="n">
        <v>5</v>
      </c>
      <c r="H90" s="5" t="n">
        <v>0</v>
      </c>
      <c r="I90" s="4" t="s">
        <v>404</v>
      </c>
    </row>
    <row r="91">
      <c r="A91" s="5" t="n">
        <v>88</v>
      </c>
      <c r="B91" s="4" t="s">
        <v>405</v>
      </c>
      <c r="C91" s="5" t="s">
        <v>230</v>
      </c>
      <c r="D91" s="5" t="n">
        <v>258575</v>
      </c>
      <c r="E91" s="5" t="n">
        <v>27.280554</v>
      </c>
      <c r="F91" s="5" t="n">
        <v>-80.388261</v>
      </c>
      <c r="G91" s="5" t="n">
        <v>6</v>
      </c>
      <c r="H91" s="5" t="n">
        <v>1</v>
      </c>
      <c r="I91" s="4" t="s">
        <v>406</v>
      </c>
    </row>
    <row r="92">
      <c r="A92" s="5" t="n">
        <v>89</v>
      </c>
      <c r="B92" s="4" t="s">
        <v>407</v>
      </c>
      <c r="C92" s="5" t="s">
        <v>218</v>
      </c>
      <c r="D92" s="5" t="n">
        <v>258143</v>
      </c>
      <c r="E92" s="5" t="n">
        <v>33.533111</v>
      </c>
      <c r="F92" s="5" t="n">
        <v>-112.189901</v>
      </c>
      <c r="G92" s="5" t="n">
        <v>11</v>
      </c>
      <c r="H92" s="5" t="n">
        <v>0</v>
      </c>
      <c r="I92" s="4" t="s">
        <v>408</v>
      </c>
    </row>
    <row r="93">
      <c r="A93" s="5" t="n">
        <v>90</v>
      </c>
      <c r="B93" s="4" t="s">
        <v>409</v>
      </c>
      <c r="C93" s="5" t="s">
        <v>215</v>
      </c>
      <c r="D93" s="5" t="n">
        <v>258060</v>
      </c>
      <c r="E93" s="5" t="n">
        <v>32.857748</v>
      </c>
      <c r="F93" s="5" t="n">
        <v>-96.970022</v>
      </c>
      <c r="G93" s="5" t="n">
        <v>12</v>
      </c>
      <c r="H93" s="5" t="n">
        <v>0</v>
      </c>
      <c r="I93" s="4" t="s">
        <v>410</v>
      </c>
    </row>
    <row r="94">
      <c r="A94" s="5" t="n">
        <v>91</v>
      </c>
      <c r="B94" s="4" t="s">
        <v>411</v>
      </c>
      <c r="C94" s="5" t="s">
        <v>239</v>
      </c>
      <c r="D94" s="5" t="n">
        <v>255769</v>
      </c>
      <c r="E94" s="5" t="n">
        <v>36.102863</v>
      </c>
      <c r="F94" s="5" t="n">
        <v>-80.260829</v>
      </c>
      <c r="G94" s="5" t="n">
        <v>11</v>
      </c>
      <c r="H94" s="5" t="n">
        <v>1</v>
      </c>
      <c r="I94" s="4" t="s">
        <v>412</v>
      </c>
    </row>
    <row r="95">
      <c r="A95" s="5" t="n">
        <v>92</v>
      </c>
      <c r="B95" s="4" t="s">
        <v>413</v>
      </c>
      <c r="C95" s="5" t="s">
        <v>313</v>
      </c>
      <c r="D95" s="5" t="n">
        <v>254997</v>
      </c>
      <c r="E95" s="5" t="n">
        <v>36.679376</v>
      </c>
      <c r="F95" s="5" t="n">
        <v>-76.301788</v>
      </c>
      <c r="G95" s="5" t="n">
        <v>10</v>
      </c>
      <c r="H95" s="5" t="n">
        <v>0</v>
      </c>
      <c r="I95" s="4" t="s">
        <v>414</v>
      </c>
    </row>
    <row r="96">
      <c r="A96" s="5" t="n">
        <v>93</v>
      </c>
      <c r="B96" s="4" t="s">
        <v>415</v>
      </c>
      <c r="C96" s="5" t="s">
        <v>215</v>
      </c>
      <c r="D96" s="5" t="n">
        <v>250431</v>
      </c>
      <c r="E96" s="5" t="n">
        <v>32.909826</v>
      </c>
      <c r="F96" s="5" t="n">
        <v>-96.630334</v>
      </c>
      <c r="G96" s="5" t="n">
        <v>11</v>
      </c>
      <c r="H96" s="5" t="n">
        <v>0</v>
      </c>
      <c r="I96" s="4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