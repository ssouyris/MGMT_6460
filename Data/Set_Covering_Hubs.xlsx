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</sheets>
  <definedNames>
    <definedName function="false" hidden="true" localSheetId="0" name="solver_adj" vbProcedure="false">Model!$B$17:$M$17</definedName>
    <definedName function="false" hidden="true" localSheetId="0" name="solver_cvg" vbProcedure="false">0.0001</definedName>
    <definedName function="false" hidden="true" localSheetId="0" name="solver_drv" vbProcedure="false">1</definedName>
    <definedName function="false" hidden="true" localSheetId="0" name="solver_eng" vbProcedure="false">2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lhs1" vbProcedure="false">Model!$N$4:$N$15</definedName>
    <definedName function="false" hidden="true" localSheetId="0" name="solver_lhs2" vbProcedure="false">Model!$B$17:$M$17</definedName>
    <definedName function="false" hidden="true" localSheetId="0" name="solver_lin" vbProcedure="false">2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cr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2</definedName>
    <definedName function="false" hidden="true" localSheetId="0" name="solver_nwt" vbProcedure="false">1</definedName>
    <definedName function="false" hidden="true" localSheetId="0" name="solver_opt" vbProcedure="false">Model!$B$20</definedName>
    <definedName function="false" hidden="true" localSheetId="0" name="solver_pre" vbProcedure="false">1</definedName>
    <definedName function="false" hidden="true" localSheetId="0" name="solver_rel1" vbProcedure="false">3</definedName>
    <definedName function="false" hidden="true" localSheetId="0" name="solver_rel2" vbProcedure="false">5</definedName>
    <definedName function="false" hidden="true" localSheetId="0" name="solver_rhs1" vbProcedure="false">Model!$P$4:$P$15</definedName>
    <definedName function="false" hidden="true" localSheetId="0" name="solver_rhs2" vbProcedure="false">binary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w" vbProcedure="false">2</definedName>
    <definedName function="false" hidden="true" localSheetId="0" name="solver_sol" vbProcedure="false">2147483647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</definedName>
    <definedName function="false" hidden="true" localSheetId="0" name="solver_typ" vbProcedure="false">2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<sst xmlns="http://schemas.openxmlformats.org/spreadsheetml/2006/main" count="47" uniqueCount="36">
  <si>
    <t xml:space="preserve">APS hub location: set covering model</t>
  </si>
  <si>
    <t xml:space="preserve">1 = hub city (column) within 300 miles of city (row)</t>
  </si>
  <si>
    <t xml:space="preserve">Covered by</t>
  </si>
  <si>
    <t xml:space="preserve">Required</t>
  </si>
  <si>
    <t xml:space="preserve">1. Atlanta</t>
  </si>
  <si>
    <t xml:space="preserve">&gt;=</t>
  </si>
  <si>
    <t xml:space="preserve">2. Boston</t>
  </si>
  <si>
    <t xml:space="preserve">3. Charlotte</t>
  </si>
  <si>
    <t xml:space="preserve">4. Cincinnati</t>
  </si>
  <si>
    <t xml:space="preserve">5. Detroit</t>
  </si>
  <si>
    <t xml:space="preserve">6. Indianapolis</t>
  </si>
  <si>
    <t xml:space="preserve">7. Milwaukee</t>
  </si>
  <si>
    <t xml:space="preserve">8. Nashville</t>
  </si>
  <si>
    <t xml:space="preserve">9. New York</t>
  </si>
  <si>
    <t xml:space="preserve">10. Pittsburgh</t>
  </si>
  <si>
    <t xml:space="preserve">11. Richmond</t>
  </si>
  <si>
    <t xml:space="preserve">12. St. Louis</t>
  </si>
  <si>
    <t xml:space="preserve">Hub? (changing cells, binary)</t>
  </si>
  <si>
    <t xml:space="preserve">City</t>
  </si>
  <si>
    <t xml:space="preserve">Atlan</t>
  </si>
  <si>
    <t xml:space="preserve">Bosto</t>
  </si>
  <si>
    <t xml:space="preserve">Charl</t>
  </si>
  <si>
    <t xml:space="preserve">Cinci</t>
  </si>
  <si>
    <t xml:space="preserve">Detro</t>
  </si>
  <si>
    <t xml:space="preserve">India</t>
  </si>
  <si>
    <t xml:space="preserve">Milwa</t>
  </si>
  <si>
    <t xml:space="preserve">Nashv</t>
  </si>
  <si>
    <t xml:space="preserve">New Y</t>
  </si>
  <si>
    <t xml:space="preserve">Pitts</t>
  </si>
  <si>
    <t xml:space="preserve">Richm</t>
  </si>
  <si>
    <t xml:space="preserve">St. L</t>
  </si>
  <si>
    <t xml:space="preserve">Number of hubs (minimize)</t>
  </si>
  <si>
    <t xml:space="preserve">Legend: blue = coverage data (row city is within 300 miles of column city); yellow = changing cells; orange = objective.</t>
  </si>
  <si>
    <t xml:space="preserve">Solver: Min B20; changing B17:M17; N4:N15 &gt;= P4:P15; B17:M17 binary; Simplex LP.</t>
  </si>
  <si>
    <t xml:space="preserve">Changing cells hold one verified optimum (gurobipy): Indianapolis, Nashville, New York, Richmond (4 hubs).</t>
  </si>
  <si>
    <t xml:space="preserve">26 different sets of 4 hubs cover every city; no set of 3 does. Solver may return a different 4-hub set.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</si>
</sst>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6"/>
    <col collapsed="false" customWidth="true" hidden="false" outlineLevel="0" max="16" min="14" style="0" width="11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1</v>
      </c>
      <c r="C3" s="3" t="n">
        <v>2</v>
      </c>
      <c r="D3" s="3" t="n">
        <v>3</v>
      </c>
      <c r="E3" s="3" t="n">
        <v>4</v>
      </c>
      <c r="F3" s="3" t="n">
        <v>5</v>
      </c>
      <c r="G3" s="3" t="n">
        <v>6</v>
      </c>
      <c r="H3" s="3" t="n">
        <v>7</v>
      </c>
      <c r="I3" s="3" t="n">
        <v>8</v>
      </c>
      <c r="J3" s="3" t="n">
        <v>9</v>
      </c>
      <c r="K3" s="3" t="n">
        <v>10</v>
      </c>
      <c r="L3" s="3" t="n">
        <v>11</v>
      </c>
      <c r="M3" s="3" t="n">
        <v>12</v>
      </c>
      <c r="N3" s="3" t="s">
        <v>2</v>
      </c>
      <c r="O3" s="2"/>
      <c r="P3" s="3" t="s">
        <v>3</v>
      </c>
    </row>
    <row r="4" customFormat="false" ht="15" hidden="false" customHeight="false" outlineLevel="0" collapsed="false">
      <c r="A4" s="4" t="s">
        <v>4</v>
      </c>
      <c r="B4" s="5" t="n">
        <v>1</v>
      </c>
      <c r="C4" s="5" t="n">
        <v>0</v>
      </c>
      <c r="D4" s="5" t="n">
        <v>1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6" t="n">
        <f aca="false">SUMPRODUCT(B4:M4,$B$17:$M$17)</f>
        <v>1</v>
      </c>
      <c r="O4" s="7" t="s">
        <v>5</v>
      </c>
      <c r="P4" s="5" t="n">
        <v>1</v>
      </c>
    </row>
    <row r="5" customFormat="false" ht="15" hidden="false" customHeight="false" outlineLevel="0" collapsed="false">
      <c r="A5" s="4" t="s">
        <v>6</v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0</v>
      </c>
      <c r="N5" s="6" t="n">
        <f aca="false">SUMPRODUCT(B5:M5,$B$17:$M$17)</f>
        <v>1</v>
      </c>
      <c r="O5" s="7" t="s">
        <v>5</v>
      </c>
      <c r="P5" s="5" t="n">
        <v>1</v>
      </c>
    </row>
    <row r="6" customFormat="false" ht="15" hidden="false" customHeight="false" outlineLevel="0" collapsed="false">
      <c r="A6" s="4" t="s">
        <v>7</v>
      </c>
      <c r="B6" s="5" t="n">
        <v>1</v>
      </c>
      <c r="C6" s="5" t="n">
        <v>0</v>
      </c>
      <c r="D6" s="5" t="n">
        <v>1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1</v>
      </c>
      <c r="M6" s="5" t="n">
        <v>0</v>
      </c>
      <c r="N6" s="6" t="n">
        <f aca="false">SUMPRODUCT(B6:M6,$B$17:$M$17)</f>
        <v>1</v>
      </c>
      <c r="O6" s="7" t="s">
        <v>5</v>
      </c>
      <c r="P6" s="5" t="n">
        <v>1</v>
      </c>
    </row>
    <row r="7" customFormat="false" ht="15" hidden="false" customHeight="false" outlineLevel="0" collapsed="false">
      <c r="A7" s="4" t="s">
        <v>8</v>
      </c>
      <c r="B7" s="5" t="n">
        <v>0</v>
      </c>
      <c r="C7" s="5" t="n">
        <v>0</v>
      </c>
      <c r="D7" s="5" t="n">
        <v>0</v>
      </c>
      <c r="E7" s="5" t="n">
        <v>1</v>
      </c>
      <c r="F7" s="5" t="n">
        <v>1</v>
      </c>
      <c r="G7" s="5" t="n">
        <v>1</v>
      </c>
      <c r="H7" s="5" t="n">
        <v>0</v>
      </c>
      <c r="I7" s="5" t="n">
        <v>1</v>
      </c>
      <c r="J7" s="5" t="n">
        <v>0</v>
      </c>
      <c r="K7" s="5" t="n">
        <v>1</v>
      </c>
      <c r="L7" s="5" t="n">
        <v>0</v>
      </c>
      <c r="M7" s="5" t="n">
        <v>0</v>
      </c>
      <c r="N7" s="6" t="n">
        <f aca="false">SUMPRODUCT(B7:M7,$B$17:$M$17)</f>
        <v>2</v>
      </c>
      <c r="O7" s="7" t="s">
        <v>5</v>
      </c>
      <c r="P7" s="5" t="n">
        <v>1</v>
      </c>
    </row>
    <row r="8" customFormat="false" ht="15" hidden="false" customHeight="false" outlineLevel="0" collapsed="false">
      <c r="A8" s="4" t="s">
        <v>9</v>
      </c>
      <c r="B8" s="5" t="n">
        <v>0</v>
      </c>
      <c r="C8" s="5" t="n">
        <v>0</v>
      </c>
      <c r="D8" s="5" t="n">
        <v>0</v>
      </c>
      <c r="E8" s="5" t="n">
        <v>1</v>
      </c>
      <c r="F8" s="5" t="n">
        <v>1</v>
      </c>
      <c r="G8" s="5" t="n">
        <v>1</v>
      </c>
      <c r="H8" s="5" t="n">
        <v>1</v>
      </c>
      <c r="I8" s="5" t="n">
        <v>0</v>
      </c>
      <c r="J8" s="5" t="n">
        <v>0</v>
      </c>
      <c r="K8" s="5" t="n">
        <v>1</v>
      </c>
      <c r="L8" s="5" t="n">
        <v>0</v>
      </c>
      <c r="M8" s="5" t="n">
        <v>0</v>
      </c>
      <c r="N8" s="6" t="n">
        <f aca="false">SUMPRODUCT(B8:M8,$B$17:$M$17)</f>
        <v>1</v>
      </c>
      <c r="O8" s="7" t="s">
        <v>5</v>
      </c>
      <c r="P8" s="5" t="n">
        <v>1</v>
      </c>
    </row>
    <row r="9" customFormat="false" ht="15" hidden="false" customHeight="false" outlineLevel="0" collapsed="false">
      <c r="A9" s="4" t="s">
        <v>10</v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0</v>
      </c>
      <c r="K9" s="5" t="n">
        <v>0</v>
      </c>
      <c r="L9" s="5" t="n">
        <v>0</v>
      </c>
      <c r="M9" s="5" t="n">
        <v>1</v>
      </c>
      <c r="N9" s="6" t="n">
        <f aca="false">SUMPRODUCT(B9:M9,$B$17:$M$17)</f>
        <v>2</v>
      </c>
      <c r="O9" s="7" t="s">
        <v>5</v>
      </c>
      <c r="P9" s="5" t="n">
        <v>1</v>
      </c>
    </row>
    <row r="10" customFormat="false" ht="15" hidden="false" customHeight="false" outlineLevel="0" collapsed="false">
      <c r="A10" s="4" t="s">
        <v>11</v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1</v>
      </c>
      <c r="G10" s="5" t="n">
        <v>1</v>
      </c>
      <c r="H10" s="5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6" t="n">
        <f aca="false">SUMPRODUCT(B10:M10,$B$17:$M$17)</f>
        <v>1</v>
      </c>
      <c r="O10" s="7" t="s">
        <v>5</v>
      </c>
      <c r="P10" s="5" t="n">
        <v>1</v>
      </c>
    </row>
    <row r="11" customFormat="false" ht="15" hidden="false" customHeight="false" outlineLevel="0" collapsed="false">
      <c r="A11" s="4" t="s">
        <v>12</v>
      </c>
      <c r="B11" s="5" t="n">
        <v>1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1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1</v>
      </c>
      <c r="N11" s="6" t="n">
        <f aca="false">SUMPRODUCT(B11:M11,$B$17:$M$17)</f>
        <v>2</v>
      </c>
      <c r="O11" s="7" t="s">
        <v>5</v>
      </c>
      <c r="P11" s="5" t="n">
        <v>1</v>
      </c>
    </row>
    <row r="12" customFormat="false" ht="15" hidden="false" customHeight="false" outlineLevel="0" collapsed="false">
      <c r="A12" s="4" t="s">
        <v>13</v>
      </c>
      <c r="B12" s="5" t="n">
        <v>0</v>
      </c>
      <c r="C12" s="5" t="n">
        <v>1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1</v>
      </c>
      <c r="K12" s="5" t="n">
        <v>0</v>
      </c>
      <c r="L12" s="5" t="n">
        <v>1</v>
      </c>
      <c r="M12" s="5" t="n">
        <v>0</v>
      </c>
      <c r="N12" s="6" t="n">
        <f aca="false">SUMPRODUCT(B12:M12,$B$17:$M$17)</f>
        <v>2</v>
      </c>
      <c r="O12" s="7" t="s">
        <v>5</v>
      </c>
      <c r="P12" s="5" t="n">
        <v>1</v>
      </c>
    </row>
    <row r="13" customFormat="false" ht="15" hidden="false" customHeight="false" outlineLevel="0" collapsed="false">
      <c r="A13" s="4" t="s">
        <v>14</v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1</v>
      </c>
      <c r="M13" s="5" t="n">
        <v>0</v>
      </c>
      <c r="N13" s="6" t="n">
        <f aca="false">SUMPRODUCT(B13:M13,$B$17:$M$17)</f>
        <v>1</v>
      </c>
      <c r="O13" s="7" t="s">
        <v>5</v>
      </c>
      <c r="P13" s="5" t="n">
        <v>1</v>
      </c>
    </row>
    <row r="14" customFormat="false" ht="15" hidden="false" customHeight="false" outlineLevel="0" collapsed="false">
      <c r="A14" s="4" t="s">
        <v>15</v>
      </c>
      <c r="B14" s="5" t="n">
        <v>0</v>
      </c>
      <c r="C14" s="5" t="n">
        <v>0</v>
      </c>
      <c r="D14" s="5" t="n">
        <v>1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1</v>
      </c>
      <c r="K14" s="5" t="n">
        <v>1</v>
      </c>
      <c r="L14" s="5" t="n">
        <v>1</v>
      </c>
      <c r="M14" s="5" t="n">
        <v>0</v>
      </c>
      <c r="N14" s="6" t="n">
        <f aca="false">SUMPRODUCT(B14:M14,$B$17:$M$17)</f>
        <v>2</v>
      </c>
      <c r="O14" s="7" t="s">
        <v>5</v>
      </c>
      <c r="P14" s="5" t="n">
        <v>1</v>
      </c>
    </row>
    <row r="15" customFormat="false" ht="15" hidden="false" customHeight="false" outlineLevel="0" collapsed="false">
      <c r="A15" s="4" t="s">
        <v>16</v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1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0</v>
      </c>
      <c r="M15" s="5" t="n">
        <v>1</v>
      </c>
      <c r="N15" s="6" t="n">
        <f aca="false">SUMPRODUCT(B15:M15,$B$17:$M$17)</f>
        <v>2</v>
      </c>
      <c r="O15" s="7" t="s">
        <v>5</v>
      </c>
      <c r="P15" s="5" t="n">
        <v>1</v>
      </c>
    </row>
    <row r="17" customFormat="false" ht="15" hidden="false" customHeight="false" outlineLevel="0" collapsed="false">
      <c r="A17" s="4" t="s">
        <v>17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1</v>
      </c>
      <c r="H17" s="8" t="n">
        <v>0</v>
      </c>
      <c r="I17" s="8" t="n">
        <v>1</v>
      </c>
      <c r="J17" s="8" t="n">
        <v>1</v>
      </c>
      <c r="K17" s="8" t="n">
        <v>0</v>
      </c>
      <c r="L17" s="8" t="n">
        <v>1</v>
      </c>
      <c r="M17" s="8" t="n">
        <v>0</v>
      </c>
    </row>
    <row r="18" customFormat="false" ht="15" hidden="false" customHeight="false" outlineLevel="0" collapsed="false">
      <c r="A18" s="4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  <c r="I18" s="6" t="s">
        <v>26</v>
      </c>
      <c r="J18" s="6" t="s">
        <v>27</v>
      </c>
      <c r="K18" s="6" t="s">
        <v>28</v>
      </c>
      <c r="L18" s="6" t="s">
        <v>29</v>
      </c>
      <c r="M18" s="6" t="s">
        <v>30</v>
      </c>
    </row>
    <row r="20" customFormat="false" ht="15" hidden="false" customHeight="false" outlineLevel="0" collapsed="false">
      <c r="A20" s="4" t="s">
        <v>31</v>
      </c>
      <c r="B20" s="9" t="n">
        <f aca="false">SUM(B17:M17)</f>
        <v>4</v>
      </c>
    </row>
    <row r="22" customFormat="false" ht="15" hidden="false" customHeight="false" outlineLevel="0" collapsed="false">
      <c r="A22" s="10" t="s">
        <v>32</v>
      </c>
    </row>
    <row r="23" customFormat="false" ht="15" hidden="false" customHeight="false" outlineLevel="0" collapsed="false">
      <c r="A23" s="10" t="s">
        <v>33</v>
      </c>
    </row>
    <row r="24" customFormat="false" ht="15" hidden="false" customHeight="false" outlineLevel="0" collapsed="false">
      <c r="A24" s="10" t="s">
        <v>34</v>
      </c>
    </row>
    <row r="25" customFormat="false" ht="15" hidden="false" customHeight="false" outlineLevel="0" collapsed="false">
      <c r="A25" s="1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2026-09-08T03:58:10Z</dcterms:created>
  <dc:creator>openpyxl</dc:creator>
  <dc:description/>
  <dc:language>en-US</dc:language>
  <cp:lastModifiedBy/>
  <dcterms:modified xsi:type="dcterms:W3CDTF">2026-09-08T03:58:10Z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