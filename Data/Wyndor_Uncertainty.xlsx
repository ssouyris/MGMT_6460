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obust" sheetId="1" r:id="rId1"/>
    <sheet name="Chance" sheetId="2" r:id="rId2"/>
    <sheet name="Recourse" sheetId="3" r:id="rId3"/>
  </sheets>
  <definedNames>
    <definedName name="solver_adj" localSheetId="0" hidden="1">Robust!$B$8:$C$8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Robust!$E$4:$E$6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Robust!$E$10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hs1" localSheetId="0" hidden="1">Robust!$G$4:$G$6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3</definedName>
    <definedName name="solver_adj" localSheetId="1" hidden="1">Chance!$B$11:$C$11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Chance!$E$7:$E$9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Chance!$E$13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Chance!$G$7:$G$9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</definedName>
    <definedName name="solver_typ" localSheetId="1" hidden="1">1</definedName>
    <definedName name="solver_val" localSheetId="1" hidden="1">0</definedName>
    <definedName name="solver_ver" localSheetId="1" hidden="1">3</definedName>
    <definedName name="solver_adj" localSheetId="2" hidden="1">Recourse!$B$10:$D$10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Recourse!$F$4:$F$8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Recourse!$F$14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hs1" localSheetId="2" hidden="1">Recourse!$H$4:$H$8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6">
    <font>
      <sz val="10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555555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1ED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/>
  </sheetViews>
  <sheetFormatPr defaultRowHeight="15"/>
  <cols>
    <col min="1" max="1" width="38" customWidth="1"/>
    <col min="2" max="2" width="14" customWidth="1"/>
    <col min="3" max="3" width="14" customWidth="1"/>
    <col min="4" max="4" width="8" customWidth="1"/>
    <col min="5" max="5" width="14" customWidth="1"/>
    <col min="6" max="6" width="6" customWidth="1"/>
    <col min="7" max="7" width="14" customWidth="1"/>
  </cols>
  <sheetData>
    <row r="1">
      <c r="A1" s="1" t="inlineStr">
        <is>
          <t xml:space="preserve">Wyndor, robust counterpart: every parameter at its worst value (Hillier and Lieberman 11e, pp. 266-267)</t>
        </is>
      </c>
    </row>
    <row r="3">
      <c r="B3" s="2" t="inlineStr">
        <is>
          <t xml:space="preserve">Doors (x1)</t>
        </is>
      </c>
      <c r="C3" s="2" t="inlineStr">
        <is>
          <t xml:space="preserve">Windows (x2)</t>
        </is>
      </c>
      <c r="E3" s="2" t="inlineStr">
        <is>
          <t xml:space="preserve">Used</t>
        </is>
      </c>
      <c r="G3" s="2" t="inlineStr">
        <is>
          <t xml:space="preserve">Available</t>
        </is>
      </c>
    </row>
    <row r="4">
      <c r="A4" s="3" t="inlineStr">
        <is>
          <t xml:space="preserve">Plant 1 hours, worst case</t>
        </is>
      </c>
      <c r="B4" s="4">
        <v>1.2</v>
      </c>
      <c r="C4" s="4">
        <v>0</v>
      </c>
      <c r="E4" s="7">
        <f>SUMPRODUCT(B4:C4,$B$8:$C$8)</f>
        <v>1.2</v>
      </c>
      <c r="F4" s="9" t="inlineStr">
        <is>
          <t xml:space="preserve">&lt;=</t>
        </is>
      </c>
      <c r="G4" s="4">
        <v>3.6</v>
      </c>
    </row>
    <row r="5">
      <c r="A5" s="3" t="inlineStr">
        <is>
          <t xml:space="preserve">Plant 2 hours, worst case</t>
        </is>
      </c>
      <c r="B5" s="4">
        <v>0</v>
      </c>
      <c r="C5" s="4">
        <v>2.2</v>
      </c>
      <c r="E5" s="7">
        <f>SUMPRODUCT(B5:C5,$B$8:$C$8)</f>
        <v>11.0</v>
      </c>
      <c r="F5" s="9" t="inlineStr">
        <is>
          <t xml:space="preserve">&lt;=</t>
        </is>
      </c>
      <c r="G5" s="4">
        <v>11</v>
      </c>
    </row>
    <row r="6">
      <c r="A6" s="3" t="inlineStr">
        <is>
          <t xml:space="preserve">Plant 3 hours, worst case</t>
        </is>
      </c>
      <c r="B6" s="4">
        <v>3.5</v>
      </c>
      <c r="C6" s="4">
        <v>2.5</v>
      </c>
      <c r="E6" s="7">
        <f>SUMPRODUCT(B6:C6,$B$8:$C$8)</f>
        <v>16.0</v>
      </c>
      <c r="F6" s="9" t="inlineStr">
        <is>
          <t xml:space="preserve">&lt;=</t>
        </is>
      </c>
      <c r="G6" s="4">
        <v>16</v>
      </c>
    </row>
    <row r="8">
      <c r="A8" s="3" t="inlineStr">
        <is>
          <t xml:space="preserve">Batches per week (changing cells)</t>
        </is>
      </c>
      <c r="B8" s="6">
        <v>1.0</v>
      </c>
      <c r="C8" s="6">
        <v>5.0</v>
      </c>
    </row>
    <row r="10">
      <c r="A10" s="3" t="inlineStr">
        <is>
          <t xml:space="preserve">Profit per batch, worst case ($000)</t>
        </is>
      </c>
      <c r="B10" s="4">
        <v>2.5</v>
      </c>
      <c r="C10" s="4">
        <v>4.5</v>
      </c>
      <c r="D10" s="9" t="inlineStr">
        <is>
          <t xml:space="preserve">Total</t>
        </is>
      </c>
      <c r="E10" s="8">
        <f>SUMPRODUCT(B10:C10,B8:C8)</f>
        <v>25.0</v>
      </c>
    </row>
    <row r="12">
      <c r="A12" s="2" t="inlineStr">
        <is>
          <t xml:space="preserve">The same plan at the estimates (for comparison, not in the Solver model)</t>
        </is>
      </c>
    </row>
    <row r="13">
      <c r="A13" s="3" t="inlineStr">
        <is>
          <t xml:space="preserve">Plant 1 hours, estimate</t>
        </is>
      </c>
      <c r="B13" s="4">
        <v>1</v>
      </c>
      <c r="C13" s="4">
        <v>0</v>
      </c>
      <c r="E13" s="7">
        <f>SUMPRODUCT(B13:C13,$B$8:$C$8)</f>
        <v>1.0</v>
      </c>
      <c r="F13" s="9" t="inlineStr">
        <is>
          <t xml:space="preserve">&lt;=</t>
        </is>
      </c>
      <c r="G13" s="4">
        <v>4</v>
      </c>
    </row>
    <row r="14">
      <c r="A14" s="3" t="inlineStr">
        <is>
          <t xml:space="preserve">Plant 2 hours, estimate</t>
        </is>
      </c>
      <c r="B14" s="4">
        <v>0</v>
      </c>
      <c r="C14" s="4">
        <v>2</v>
      </c>
      <c r="E14" s="7">
        <f>SUMPRODUCT(B14:C14,$B$8:$C$8)</f>
        <v>10.0</v>
      </c>
      <c r="F14" s="9" t="inlineStr">
        <is>
          <t xml:space="preserve">&lt;=</t>
        </is>
      </c>
      <c r="G14" s="4">
        <v>12</v>
      </c>
    </row>
    <row r="15">
      <c r="A15" s="3" t="inlineStr">
        <is>
          <t xml:space="preserve">Plant 3 hours, estimate</t>
        </is>
      </c>
      <c r="B15" s="4">
        <v>3</v>
      </c>
      <c r="C15" s="4">
        <v>2</v>
      </c>
      <c r="E15" s="7">
        <f>SUMPRODUCT(B15:C15,$B$8:$C$8)</f>
        <v>13.0</v>
      </c>
      <c r="F15" s="9" t="inlineStr">
        <is>
          <t xml:space="preserve">&lt;=</t>
        </is>
      </c>
      <c r="G15" s="4">
        <v>18</v>
      </c>
    </row>
    <row r="16">
      <c r="A16" s="3" t="inlineStr">
        <is>
          <t xml:space="preserve">Profit per batch, estimate ($000)</t>
        </is>
      </c>
      <c r="B16" s="4">
        <v>3</v>
      </c>
      <c r="C16" s="4">
        <v>5</v>
      </c>
      <c r="D16" s="9" t="inlineStr">
        <is>
          <t xml:space="preserve">Total</t>
        </is>
      </c>
      <c r="E16" s="7">
        <f>SUMPRODUCT(B16:C16,B8:C8)</f>
        <v>28.0</v>
      </c>
    </row>
    <row r="18">
      <c r="A18" s="10" t="inlineStr">
        <is>
          <t xml:space="preserve">Legend: blue = data cells (edit to change the instance); yellow = changing cells (Solver decides); orange = objective cell.</t>
        </is>
      </c>
    </row>
    <row r="19">
      <c r="A19" s="10" t="inlineStr">
        <is>
          <t xml:space="preserve">Solver: objective E10 (Max), changing cells B8:C8, constraints E4:E6 &lt;= G4:G6; Simplex LP; nonnegative variables.</t>
        </is>
      </c>
    </row>
    <row r="20">
      <c r="A20" s="10" t="inlineStr">
        <is>
          <t xml:space="preserve">Opens at the verified optimum (gurobipy): 1 batch of doors, 5 of windows. $25,000 a week guaranteed for every value</t>
        </is>
      </c>
    </row>
    <row r="21">
      <c r="A21" s="10" t="inlineStr">
        <is>
          <t xml:space="preserve">in the ranges; $28,000 at the estimates (E16). Reset B8:C8 to 0 to watch Solver work.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8" customWidth="1"/>
    <col min="2" max="2" width="14" customWidth="1"/>
    <col min="3" max="3" width="14" customWidth="1"/>
    <col min="4" max="4" width="10" customWidth="1"/>
    <col min="5" max="5" width="14" customWidth="1"/>
    <col min="6" max="6" width="6" customWidth="1"/>
    <col min="7" max="7" width="14" customWidth="1"/>
    <col min="8" max="8" width="12" customWidth="1"/>
    <col min="9" max="9" width="12" customWidth="1"/>
  </cols>
  <sheetData>
    <row r="1">
      <c r="A1" s="1" t="inlineStr">
        <is>
          <t xml:space="preserve">Wyndor with chance constraints: hours are normal (Hillier and Lieberman 11e, pp. 269-271)</t>
        </is>
      </c>
    </row>
    <row r="3">
      <c r="A3" s="3" t="inlineStr">
        <is>
          <t xml:space="preserve">Confidence level alpha</t>
        </is>
      </c>
      <c r="B3" s="4">
        <v>0.95</v>
      </c>
    </row>
    <row r="4">
      <c r="A4" s="3" t="inlineStr">
        <is>
          <t xml:space="preserve">z for this alpha (standard normal table)</t>
        </is>
      </c>
      <c r="B4" s="4">
        <v>1.645</v>
      </c>
      <c r="C4" s="9" t="inlineStr">
        <is>
          <t xml:space="preserve">exact z:</t>
        </is>
      </c>
      <c r="D4" s="7">
        <f>NORM.S.INV(B3)</f>
        <v>1.6448536269514715</v>
      </c>
    </row>
    <row r="6">
      <c r="B6" s="2" t="inlineStr">
        <is>
          <t xml:space="preserve">Doors (x1)</t>
        </is>
      </c>
      <c r="C6" s="2" t="inlineStr">
        <is>
          <t xml:space="preserve">Windows (x2)</t>
        </is>
      </c>
      <c r="E6" s="2" t="inlineStr">
        <is>
          <t xml:space="preserve">Used</t>
        </is>
      </c>
      <c r="G6" s="2" t="inlineStr">
        <is>
          <t xml:space="preserve">Hours at alpha</t>
        </is>
      </c>
      <c r="H6" s="2" t="inlineStr">
        <is>
          <t xml:space="preserve">Mean hours</t>
        </is>
      </c>
      <c r="I6" s="2" t="inlineStr">
        <is>
          <t xml:space="preserve">Std dev</t>
        </is>
      </c>
    </row>
    <row r="7">
      <c r="A7" s="3" t="inlineStr">
        <is>
          <t xml:space="preserve">Plant 1 hours</t>
        </is>
      </c>
      <c r="B7" s="4">
        <v>1</v>
      </c>
      <c r="C7" s="4">
        <v>0</v>
      </c>
      <c r="E7" s="7">
        <f>SUMPRODUCT(B7:C7,$B$11:$C$11)</f>
        <v>1.7258333333</v>
      </c>
      <c r="F7" s="9" t="inlineStr">
        <is>
          <t xml:space="preserve">&lt;=</t>
        </is>
      </c>
      <c r="G7" s="7">
        <f>H7-$B$4*I7</f>
        <v>3.671</v>
      </c>
      <c r="H7" s="4">
        <v>4</v>
      </c>
      <c r="I7" s="4">
        <v>0.2</v>
      </c>
    </row>
    <row r="8">
      <c r="A8" s="3" t="inlineStr">
        <is>
          <t xml:space="preserve">Plant 2 hours</t>
        </is>
      </c>
      <c r="B8" s="4">
        <v>0</v>
      </c>
      <c r="C8" s="4">
        <v>2</v>
      </c>
      <c r="E8" s="7">
        <f>SUMPRODUCT(B8:C8,$B$11:$C$11)</f>
        <v>11.1775</v>
      </c>
      <c r="F8" s="9" t="inlineStr">
        <is>
          <t xml:space="preserve">&lt;=</t>
        </is>
      </c>
      <c r="G8" s="7">
        <f>H8-$B$4*I8</f>
        <v>11.1775</v>
      </c>
      <c r="H8" s="4">
        <v>12</v>
      </c>
      <c r="I8" s="4">
        <v>0.5</v>
      </c>
    </row>
    <row r="9">
      <c r="A9" s="3" t="inlineStr">
        <is>
          <t xml:space="preserve">Plant 3 hours</t>
        </is>
      </c>
      <c r="B9" s="4">
        <v>3</v>
      </c>
      <c r="C9" s="4">
        <v>2</v>
      </c>
      <c r="E9" s="7">
        <f>SUMPRODUCT(B9:C9,$B$11:$C$11)</f>
        <v>16.354999999900002</v>
      </c>
      <c r="F9" s="9" t="inlineStr">
        <is>
          <t xml:space="preserve">&lt;=</t>
        </is>
      </c>
      <c r="G9" s="7">
        <f>H9-$B$4*I9</f>
        <v>16.355</v>
      </c>
      <c r="H9" s="4">
        <v>18</v>
      </c>
      <c r="I9" s="4">
        <v>1.0</v>
      </c>
    </row>
    <row r="11">
      <c r="A11" s="3" t="inlineStr">
        <is>
          <t xml:space="preserve">Batches per week (changing cells)</t>
        </is>
      </c>
      <c r="B11" s="6">
        <v>1.7258333333</v>
      </c>
      <c r="C11" s="6">
        <v>5.58875</v>
      </c>
    </row>
    <row r="13">
      <c r="A13" s="3" t="inlineStr">
        <is>
          <t xml:space="preserve">Profit per batch ($000)</t>
        </is>
      </c>
      <c r="B13" s="4">
        <v>3</v>
      </c>
      <c r="C13" s="4">
        <v>5</v>
      </c>
      <c r="D13" s="9" t="inlineStr">
        <is>
          <t xml:space="preserve">Total</t>
        </is>
      </c>
      <c r="E13" s="8">
        <f>SUMPRODUCT(B13:C13,B11:C11)</f>
        <v>33.12125</v>
      </c>
    </row>
    <row r="15">
      <c r="A15" s="10" t="inlineStr">
        <is>
          <t xml:space="preserve">Legend: blue = data cells (edit to change the instance); yellow = changing cells (Solver decides); orange = objective cell.</t>
        </is>
      </c>
    </row>
    <row r="16">
      <c r="A16" s="10" t="inlineStr">
        <is>
          <t xml:space="preserve">Each 'Hours at alpha' cell is mean - z * std dev: Plant i's hours reach it with probability alpha.</t>
        </is>
      </c>
    </row>
    <row r="17">
      <c r="A17" s="10" t="inlineStr">
        <is>
          <t xml:space="preserve">Solver: objective E13 (Max), changing cells B11:C11, constraints E7:E9 &lt;= G7:G9; Simplex LP; nonnegative variables.</t>
        </is>
      </c>
    </row>
    <row r="18">
      <c r="A18" s="10" t="inlineStr">
        <is>
          <t xml:space="preserve">Opens at the verified optimum (gurobipy): (1.7258, 5.5888), Z = 33.121 ($000/week). Try z = 2.326 (alpha = 0.99).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8" customWidth="1"/>
    <col min="2" max="2" width="14" customWidth="1"/>
    <col min="3" max="3" width="16" customWidth="1"/>
    <col min="4" max="4" width="16" customWidth="1"/>
    <col min="5" max="5" width="4" customWidth="1"/>
    <col min="6" max="6" width="12" customWidth="1"/>
    <col min="7" max="7" width="6" customWidth="1"/>
    <col min="8" max="8" width="12" customWidth="1"/>
  </cols>
  <sheetData>
    <row r="1">
      <c r="A1" s="1" t="inlineStr">
        <is>
          <t xml:space="preserve">Wyndor with recourse: doors now, windows after the rumor resolves (Hillier and Lieberman 11e, pp. 272-275)</t>
        </is>
      </c>
    </row>
    <row r="3">
      <c r="B3" s="2" t="inlineStr">
        <is>
          <t xml:space="preserve">Doors x1 (now)</t>
        </is>
      </c>
      <c r="C3" s="2" t="inlineStr">
        <is>
          <t xml:space="preserve">Windows x21 (no competitor)</t>
        </is>
      </c>
      <c r="D3" s="2" t="inlineStr">
        <is>
          <t xml:space="preserve">Windows x22 (competitor)</t>
        </is>
      </c>
      <c r="F3" s="2" t="inlineStr">
        <is>
          <t xml:space="preserve">Used</t>
        </is>
      </c>
      <c r="H3" s="2" t="inlineStr">
        <is>
          <t xml:space="preserve">Available</t>
        </is>
      </c>
    </row>
    <row r="4">
      <c r="A4" s="3" t="inlineStr">
        <is>
          <t xml:space="preserve">Plant 1 hours</t>
        </is>
      </c>
      <c r="B4" s="4">
        <v>1</v>
      </c>
      <c r="C4" s="4">
        <v>0</v>
      </c>
      <c r="D4" s="4">
        <v>0</v>
      </c>
      <c r="F4" s="7">
        <f>SUMPRODUCT(B4:D4,$B$10:$D$10)</f>
        <v>4.0</v>
      </c>
      <c r="G4" s="9" t="inlineStr">
        <is>
          <t xml:space="preserve">&lt;=</t>
        </is>
      </c>
      <c r="H4" s="4">
        <v>4</v>
      </c>
    </row>
    <row r="5">
      <c r="A5" s="3" t="inlineStr">
        <is>
          <t xml:space="preserve">Plant 2 hours, no competitor</t>
        </is>
      </c>
      <c r="B5" s="4">
        <v>0</v>
      </c>
      <c r="C5" s="4">
        <v>2</v>
      </c>
      <c r="D5" s="4">
        <v>0</v>
      </c>
      <c r="F5" s="7">
        <f>SUMPRODUCT(B5:D5,$B$10:$D$10)</f>
        <v>6.0</v>
      </c>
      <c r="G5" s="9" t="inlineStr">
        <is>
          <t xml:space="preserve">&lt;=</t>
        </is>
      </c>
      <c r="H5" s="4">
        <v>12</v>
      </c>
    </row>
    <row r="6">
      <c r="A6" s="3" t="inlineStr">
        <is>
          <t xml:space="preserve">Plant 2 hours, competitor</t>
        </is>
      </c>
      <c r="B6" s="4">
        <v>0</v>
      </c>
      <c r="C6" s="4">
        <v>0</v>
      </c>
      <c r="D6" s="4">
        <v>2</v>
      </c>
      <c r="F6" s="7">
        <f>SUMPRODUCT(B6:D6,$B$10:$D$10)</f>
        <v>2.0</v>
      </c>
      <c r="G6" s="9" t="inlineStr">
        <is>
          <t xml:space="preserve">&lt;=</t>
        </is>
      </c>
      <c r="H6" s="4">
        <v>12</v>
      </c>
    </row>
    <row r="7">
      <c r="A7" s="3" t="inlineStr">
        <is>
          <t xml:space="preserve">Plant 3 hours, no competitor</t>
        </is>
      </c>
      <c r="B7" s="4">
        <v>3</v>
      </c>
      <c r="C7" s="4">
        <v>2</v>
      </c>
      <c r="D7" s="4">
        <v>0</v>
      </c>
      <c r="F7" s="7">
        <f>SUMPRODUCT(B7:D7,$B$10:$D$10)</f>
        <v>18.0</v>
      </c>
      <c r="G7" s="9" t="inlineStr">
        <is>
          <t xml:space="preserve">&lt;=</t>
        </is>
      </c>
      <c r="H7" s="4">
        <v>18</v>
      </c>
    </row>
    <row r="8">
      <c r="A8" s="3" t="inlineStr">
        <is>
          <t xml:space="preserve">Plant 3 hours, competitor</t>
        </is>
      </c>
      <c r="B8" s="4">
        <v>3</v>
      </c>
      <c r="C8" s="4">
        <v>0</v>
      </c>
      <c r="D8" s="4">
        <v>6</v>
      </c>
      <c r="F8" s="7">
        <f>SUMPRODUCT(B8:D8,$B$10:$D$10)</f>
        <v>18.0</v>
      </c>
      <c r="G8" s="9" t="inlineStr">
        <is>
          <t xml:space="preserve">&lt;=</t>
        </is>
      </c>
      <c r="H8" s="4">
        <v>18</v>
      </c>
    </row>
    <row r="10">
      <c r="A10" s="3" t="inlineStr">
        <is>
          <t xml:space="preserve">Batches per week (changing cells)</t>
        </is>
      </c>
      <c r="B10" s="6">
        <v>4.0</v>
      </c>
      <c r="C10" s="6">
        <v>3.0</v>
      </c>
      <c r="D10" s="6">
        <v>1.0</v>
      </c>
    </row>
    <row r="12">
      <c r="A12" s="3" t="inlineStr">
        <is>
          <t xml:space="preserve">Scenario probability</t>
        </is>
      </c>
      <c r="C12" s="7">
        <f>1-D12</f>
        <v>0.25</v>
      </c>
      <c r="D12" s="4">
        <v>0.75</v>
      </c>
    </row>
    <row r="13">
      <c r="A13" s="3" t="inlineStr">
        <is>
          <t xml:space="preserve">Profit per batch ($000)</t>
        </is>
      </c>
      <c r="B13" s="4">
        <v>3</v>
      </c>
      <c r="C13" s="4">
        <v>5</v>
      </c>
      <c r="D13" s="4">
        <v>1</v>
      </c>
    </row>
    <row r="14">
      <c r="A14" s="3" t="inlineStr">
        <is>
          <t xml:space="preserve">Expected profit per batch ($000)</t>
        </is>
      </c>
      <c r="B14" s="7">
        <f>B13</f>
        <v>3.0</v>
      </c>
      <c r="C14" s="7">
        <f>C12*C13</f>
        <v>1.25</v>
      </c>
      <c r="D14" s="7">
        <f>D12*D13</f>
        <v>0.75</v>
      </c>
      <c r="E14" s="9" t="inlineStr">
        <is>
          <t xml:space="preserve">Total</t>
        </is>
      </c>
      <c r="F14" s="8">
        <f>SUMPRODUCT(B14:D14,B10:D10)</f>
        <v>16.5</v>
      </c>
    </row>
    <row r="16">
      <c r="A16" s="10" t="inlineStr">
        <is>
          <t xml:space="preserve">Legend: blue = data cells (edit to change the instance); yellow = changing cells (Solver decides); orange = objective cell.</t>
        </is>
      </c>
    </row>
    <row r="17">
      <c r="A17" s="10" t="inlineStr">
        <is>
          <t xml:space="preserve">x1 has no scenario index: it is decided before the rumor resolves. Each window column belongs to one scenario.</t>
        </is>
      </c>
    </row>
    <row r="18">
      <c r="A18" s="10" t="inlineStr">
        <is>
          <t xml:space="preserve">Solver: objective F14 (Max), changing cells B10:D10, constraints F4:F8 &lt;= H4:H8; Simplex LP; nonnegative variables.</t>
        </is>
      </c>
    </row>
    <row r="19">
      <c r="A19" s="10" t="inlineStr">
        <is>
          <t xml:space="preserve">Opens at the verified optimum (gurobipy): x1 = 4, x21 = 3, x22 = 1, expected profit 16.5 ($000/week).</t>
        </is>
      </c>
    </row>
    <row r="20">
      <c r="A20" s="10" t="inlineStr">
        <is>
          <t xml:space="preserve">Try a competitor probability of 0.6 in D12 and re-solve.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Wyndor under uncertainty</dc:title>
  <dc:creator>Sebastian Souyris</dc:creator>
</cp:coreProperties>
</file>