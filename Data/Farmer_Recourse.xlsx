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ean" sheetId="1" r:id="rId1"/>
    <sheet name="Recourse" sheetId="2" r:id="rId2"/>
  </sheets>
  <definedNames>
    <definedName name="solver_adj" localSheetId="0" hidden="1">Mean!$B$5:$D$5,Mean!$B$11:$G$11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Mean!$E$5</definedName>
    <definedName name="solver_lhs2" localSheetId="0" hidden="1">Mean!$B$15:$B$15</definedName>
    <definedName name="solver_lhs3" localSheetId="0" hidden="1">Mean!$E$15:$E$15</definedName>
    <definedName name="solver_lhs4" localSheetId="0" hidden="1">Mean!$H$15:$H$15</definedName>
    <definedName name="solver_lhs5" localSheetId="0" hidden="1">Mean!$J$15:$J$15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Mean!$B$17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hs1" localSheetId="0" hidden="1">Mean!$G$5</definedName>
    <definedName name="solver_rhs2" localSheetId="0" hidden="1">Mean!$D$15:$D$15</definedName>
    <definedName name="solver_rhs3" localSheetId="0" hidden="1">Mean!$G$15:$G$15</definedName>
    <definedName name="solver_rhs4" localSheetId="0" hidden="1">0</definedName>
    <definedName name="solver_rhs5" localSheetId="0" hidden="1">Mean!$L$15:$L$15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  <definedName name="solver_adj" localSheetId="1" hidden="1">Recourse!$B$5:$D$5,Recourse!$B$13:$G$15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Recourse!$E$5</definedName>
    <definedName name="solver_lhs2" localSheetId="1" hidden="1">Recourse!$B$19:$B$21</definedName>
    <definedName name="solver_lhs3" localSheetId="1" hidden="1">Recourse!$E$19:$E$21</definedName>
    <definedName name="solver_lhs4" localSheetId="1" hidden="1">Recourse!$H$19:$H$21</definedName>
    <definedName name="solver_lhs5" localSheetId="1" hidden="1">Recourse!$J$19:$J$21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Recourse!$B$23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3</definedName>
    <definedName name="solver_rel4" localSheetId="1" hidden="1">3</definedName>
    <definedName name="solver_rel5" localSheetId="1" hidden="1">1</definedName>
    <definedName name="solver_rhs1" localSheetId="1" hidden="1">Recourse!$G$5</definedName>
    <definedName name="solver_rhs2" localSheetId="1" hidden="1">Recourse!$D$19:$D$21</definedName>
    <definedName name="solver_rhs3" localSheetId="1" hidden="1">Recourse!$G$19:$G$21</definedName>
    <definedName name="solver_rhs4" localSheetId="1" hidden="1">0</definedName>
    <definedName name="solver_rhs5" localSheetId="1" hidden="1">Recourse!$L$19:$L$21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6">
    <font>
      <sz val="1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555555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1ED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0" borderId="0" xfId="0"/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34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>
      <c r="A1" s="1" t="inlineStr">
        <is>
          <t xml:space="preserve">Farmer's problem at mean yields (Birge and Louveaux, Sec. 1.1)</t>
        </is>
      </c>
    </row>
    <row r="3">
      <c r="B3" s="2" t="inlineStr">
        <is>
          <t xml:space="preserve">Wheat</t>
        </is>
      </c>
      <c r="C3" s="2" t="inlineStr">
        <is>
          <t xml:space="preserve">Corn</t>
        </is>
      </c>
      <c r="D3" s="2" t="inlineStr">
        <is>
          <t xml:space="preserve">Sugar beets</t>
        </is>
      </c>
      <c r="E3" s="2" t="inlineStr">
        <is>
          <t xml:space="preserve">Total</t>
        </is>
      </c>
      <c r="G3" s="2" t="inlineStr">
        <is>
          <t xml:space="preserve">Land</t>
        </is>
      </c>
    </row>
    <row r="4">
      <c r="A4" s="3" t="inlineStr">
        <is>
          <t xml:space="preserve">Planting cost ($/acre)</t>
        </is>
      </c>
      <c r="B4" s="4">
        <v>150</v>
      </c>
      <c r="C4" s="4">
        <v>230</v>
      </c>
      <c r="D4" s="4">
        <v>260</v>
      </c>
    </row>
    <row r="5">
      <c r="A5" s="3" t="inlineStr">
        <is>
          <t xml:space="preserve">Acres planted (changing cells)</t>
        </is>
      </c>
      <c r="B5" s="6">
        <v>120.0</v>
      </c>
      <c r="C5" s="6">
        <v>80.0</v>
      </c>
      <c r="D5" s="6">
        <v>300.0</v>
      </c>
      <c r="E5" s="7">
        <f>SUM(B5:D5)</f>
        <v>500.0</v>
      </c>
      <c r="F5" s="9" t="inlineStr">
        <is>
          <t xml:space="preserve">&lt;=</t>
        </is>
      </c>
      <c r="G5" s="4">
        <v>500</v>
      </c>
    </row>
    <row r="7">
      <c r="B7" s="2" t="inlineStr">
        <is>
          <t xml:space="preserve">Probability</t>
        </is>
      </c>
      <c r="C7" s="2" t="inlineStr">
        <is>
          <t xml:space="preserve">Wheat T/acre</t>
        </is>
      </c>
      <c r="D7" s="2" t="inlineStr">
        <is>
          <t xml:space="preserve">Corn T/acre</t>
        </is>
      </c>
      <c r="E7" s="2" t="inlineStr">
        <is>
          <t xml:space="preserve">Beets T/acre</t>
        </is>
      </c>
    </row>
    <row r="8">
      <c r="A8" s="3" t="inlineStr">
        <is>
          <t xml:space="preserve">Average year</t>
        </is>
      </c>
      <c r="B8" s="4">
        <v>1.0</v>
      </c>
      <c r="C8" s="4">
        <v>2.5</v>
      </c>
      <c r="D8" s="4">
        <v>3.0</v>
      </c>
      <c r="E8" s="4">
        <v>20.0</v>
      </c>
    </row>
    <row r="10">
      <c r="B10" s="2" t="inlineStr">
        <is>
          <t xml:space="preserve">Sell wheat (T)</t>
        </is>
      </c>
      <c r="C10" s="2" t="inlineStr">
        <is>
          <t xml:space="preserve">Sell corn (T)</t>
        </is>
      </c>
      <c r="D10" s="2" t="inlineStr">
        <is>
          <t xml:space="preserve">Sell beets at quota price (T)</t>
        </is>
      </c>
      <c r="E10" s="2" t="inlineStr">
        <is>
          <t xml:space="preserve">Sell beets above quota (T)</t>
        </is>
      </c>
      <c r="F10" s="2" t="inlineStr">
        <is>
          <t xml:space="preserve">Buy wheat (T)</t>
        </is>
      </c>
      <c r="G10" s="2" t="inlineStr">
        <is>
          <t xml:space="preserve">Buy corn (T)</t>
        </is>
      </c>
      <c r="H10" s="2" t="inlineStr">
        <is>
          <t xml:space="preserve">Revenue ($)</t>
        </is>
      </c>
    </row>
    <row r="11">
      <c r="A11" s="3" t="inlineStr">
        <is>
          <t xml:space="preserve">Average year (changing cells)</t>
        </is>
      </c>
      <c r="B11" s="6">
        <v>100.0</v>
      </c>
      <c r="C11" s="6">
        <v>0.0</v>
      </c>
      <c r="D11" s="6">
        <v>6000.0</v>
      </c>
      <c r="E11" s="6">
        <v>0.0</v>
      </c>
      <c r="F11" s="6">
        <v>0.0</v>
      </c>
      <c r="G11" s="6">
        <v>0.0</v>
      </c>
      <c r="H11" s="7">
        <f>SUMPRODUCT(B11:G11,$B$12:$G$12)</f>
        <v>233000.0</v>
      </c>
    </row>
    <row r="12">
      <c r="A12" s="3" t="inlineStr">
        <is>
          <t xml:space="preserve">Price ($/T); purchases negative</t>
        </is>
      </c>
      <c r="B12" s="4">
        <v>170</v>
      </c>
      <c r="C12" s="4">
        <v>150</v>
      </c>
      <c r="D12" s="4">
        <v>36</v>
      </c>
      <c r="E12" s="4">
        <v>10</v>
      </c>
      <c r="F12" s="4">
        <v>-238</v>
      </c>
      <c r="G12" s="4">
        <v>-210</v>
      </c>
    </row>
    <row r="14">
      <c r="B14" s="2" t="inlineStr">
        <is>
          <t xml:space="preserve">Wheat for feed</t>
        </is>
      </c>
      <c r="C14" s="2" t="inlineStr">
        <is>
          <t xml:space="preserve">&gt;=</t>
        </is>
      </c>
      <c r="D14" s="2" t="inlineStr">
        <is>
          <t xml:space="preserve">Need</t>
        </is>
      </c>
      <c r="E14" s="2" t="inlineStr">
        <is>
          <t xml:space="preserve">Corn for feed</t>
        </is>
      </c>
      <c r="F14" s="2" t="inlineStr">
        <is>
          <t xml:space="preserve">&gt;=</t>
        </is>
      </c>
      <c r="G14" s="2" t="inlineStr">
        <is>
          <t xml:space="preserve">Need</t>
        </is>
      </c>
      <c r="H14" s="2" t="inlineStr">
        <is>
          <t xml:space="preserve">Beets unsold</t>
        </is>
      </c>
      <c r="I14" s="2" t="inlineStr">
        <is>
          <t xml:space="preserve">&gt;=</t>
        </is>
      </c>
      <c r="J14" s="2" t="inlineStr">
        <is>
          <t xml:space="preserve">Quota sales</t>
        </is>
      </c>
    </row>
    <row r="15">
      <c r="A15" s="3" t="inlineStr">
        <is>
          <t xml:space="preserve">Average year</t>
        </is>
      </c>
      <c r="B15" s="7">
        <f>C8*$B$5+F11-B11</f>
        <v>200.0</v>
      </c>
      <c r="C15" s="9" t="inlineStr">
        <is>
          <t xml:space="preserve">&gt;=</t>
        </is>
      </c>
      <c r="D15" s="4">
        <v>200</v>
      </c>
      <c r="E15" s="7">
        <f>D8*$C$5+G11-C11</f>
        <v>240.0</v>
      </c>
      <c r="F15" s="9" t="inlineStr">
        <is>
          <t xml:space="preserve">&gt;=</t>
        </is>
      </c>
      <c r="G15" s="4">
        <v>240</v>
      </c>
      <c r="H15" s="7">
        <f>E8*$D$5-D11-E11</f>
        <v>0.0</v>
      </c>
      <c r="I15" s="9" t="inlineStr">
        <is>
          <t xml:space="preserve">&gt;= 0</t>
        </is>
      </c>
      <c r="J15" s="7">
        <f>D11</f>
        <v>6000.0</v>
      </c>
      <c r="K15" s="9" t="inlineStr">
        <is>
          <t xml:space="preserve">&lt;=</t>
        </is>
      </c>
      <c r="L15" s="4">
        <v>6000</v>
      </c>
    </row>
    <row r="17">
      <c r="A17" s="3" t="inlineStr">
        <is>
          <t xml:space="preserve">Expected profit ($)</t>
        </is>
      </c>
      <c r="B17" s="8">
        <f>SUMPRODUCT(B8:B8,H11:H11)-SUMPRODUCT(B4:D4,B5:D5)</f>
        <v>118600.0</v>
      </c>
    </row>
    <row r="19">
      <c r="A19" s="10" t="inlineStr">
        <is>
          <t xml:space="preserve">Legend: blue = data cells (edit to change the instance); yellow = changing cells (Solver decides); orange = objective cell.</t>
        </is>
      </c>
    </row>
    <row r="20">
      <c r="A20" s="10" t="inlineStr">
        <is>
          <t xml:space="preserve">Solver: objective as stored (Max), changing cells: acres and the sales/purchases row; Simplex LP; nonnegative.</t>
        </is>
      </c>
    </row>
    <row r="21">
      <c r="A21" s="10" t="inlineStr">
        <is>
          <t xml:space="preserve">Opens at the verified optimum (gurobipy): 120 wheat, 80 corn, 300 beets; $118,600.</t>
        </is>
      </c>
    </row>
    <row r="22">
      <c r="A22" s="10" t="inlineStr">
        <is>
          <t xml:space="preserve">Type a good or a bad year's yields in C8:E8 and re-solve: the plan you would choose knowing the weather.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4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>
      <c r="A1" s="1" t="inlineStr">
        <is>
          <t xml:space="preserve">Farmer's problem, three equally likely weather scenarios: plant now, sell or buy later</t>
        </is>
      </c>
    </row>
    <row r="3">
      <c r="B3" s="2" t="inlineStr">
        <is>
          <t xml:space="preserve">Wheat</t>
        </is>
      </c>
      <c r="C3" s="2" t="inlineStr">
        <is>
          <t xml:space="preserve">Corn</t>
        </is>
      </c>
      <c r="D3" s="2" t="inlineStr">
        <is>
          <t xml:space="preserve">Sugar beets</t>
        </is>
      </c>
      <c r="E3" s="2" t="inlineStr">
        <is>
          <t xml:space="preserve">Total</t>
        </is>
      </c>
      <c r="G3" s="2" t="inlineStr">
        <is>
          <t xml:space="preserve">Land</t>
        </is>
      </c>
    </row>
    <row r="4">
      <c r="A4" s="3" t="inlineStr">
        <is>
          <t xml:space="preserve">Planting cost ($/acre)</t>
        </is>
      </c>
      <c r="B4" s="4">
        <v>150</v>
      </c>
      <c r="C4" s="4">
        <v>230</v>
      </c>
      <c r="D4" s="4">
        <v>260</v>
      </c>
    </row>
    <row r="5">
      <c r="A5" s="3" t="inlineStr">
        <is>
          <t xml:space="preserve">Acres planted (changing cells)</t>
        </is>
      </c>
      <c r="B5" s="6">
        <v>170.0</v>
      </c>
      <c r="C5" s="6">
        <v>80.0</v>
      </c>
      <c r="D5" s="6">
        <v>250.0</v>
      </c>
      <c r="E5" s="7">
        <f>SUM(B5:D5)</f>
        <v>500.0</v>
      </c>
      <c r="F5" s="9" t="inlineStr">
        <is>
          <t xml:space="preserve">&lt;=</t>
        </is>
      </c>
      <c r="G5" s="4">
        <v>500</v>
      </c>
    </row>
    <row r="7">
      <c r="B7" s="2" t="inlineStr">
        <is>
          <t xml:space="preserve">Probability</t>
        </is>
      </c>
      <c r="C7" s="2" t="inlineStr">
        <is>
          <t xml:space="preserve">Wheat T/acre</t>
        </is>
      </c>
      <c r="D7" s="2" t="inlineStr">
        <is>
          <t xml:space="preserve">Corn T/acre</t>
        </is>
      </c>
      <c r="E7" s="2" t="inlineStr">
        <is>
          <t xml:space="preserve">Beets T/acre</t>
        </is>
      </c>
    </row>
    <row r="8">
      <c r="A8" s="3" t="inlineStr">
        <is>
          <t xml:space="preserve">Good year</t>
        </is>
      </c>
      <c r="B8" s="4">
        <v>0.3333333333333333</v>
      </c>
      <c r="C8" s="4">
        <v>3.0</v>
      </c>
      <c r="D8" s="4">
        <v>3.6</v>
      </c>
      <c r="E8" s="4">
        <v>24.0</v>
      </c>
    </row>
    <row r="9">
      <c r="A9" s="3" t="inlineStr">
        <is>
          <t xml:space="preserve">Average year</t>
        </is>
      </c>
      <c r="B9" s="4">
        <v>0.3333333333333333</v>
      </c>
      <c r="C9" s="4">
        <v>2.5</v>
      </c>
      <c r="D9" s="4">
        <v>3.0</v>
      </c>
      <c r="E9" s="4">
        <v>20.0</v>
      </c>
    </row>
    <row r="10">
      <c r="A10" s="3" t="inlineStr">
        <is>
          <t xml:space="preserve">Bad year</t>
        </is>
      </c>
      <c r="B10" s="4">
        <v>0.3333333333333333</v>
      </c>
      <c r="C10" s="4">
        <v>2.0</v>
      </c>
      <c r="D10" s="4">
        <v>2.4</v>
      </c>
      <c r="E10" s="4">
        <v>16.0</v>
      </c>
    </row>
    <row r="12">
      <c r="B12" s="2" t="inlineStr">
        <is>
          <t xml:space="preserve">Sell wheat (T)</t>
        </is>
      </c>
      <c r="C12" s="2" t="inlineStr">
        <is>
          <t xml:space="preserve">Sell corn (T)</t>
        </is>
      </c>
      <c r="D12" s="2" t="inlineStr">
        <is>
          <t xml:space="preserve">Sell beets at quota price (T)</t>
        </is>
      </c>
      <c r="E12" s="2" t="inlineStr">
        <is>
          <t xml:space="preserve">Sell beets above quota (T)</t>
        </is>
      </c>
      <c r="F12" s="2" t="inlineStr">
        <is>
          <t xml:space="preserve">Buy wheat (T)</t>
        </is>
      </c>
      <c r="G12" s="2" t="inlineStr">
        <is>
          <t xml:space="preserve">Buy corn (T)</t>
        </is>
      </c>
      <c r="H12" s="2" t="inlineStr">
        <is>
          <t xml:space="preserve">Revenue ($)</t>
        </is>
      </c>
    </row>
    <row r="13">
      <c r="A13" s="3" t="inlineStr">
        <is>
          <t xml:space="preserve">Good year (changing cells)</t>
        </is>
      </c>
      <c r="B13" s="6">
        <v>310.0</v>
      </c>
      <c r="C13" s="6">
        <v>48.0</v>
      </c>
      <c r="D13" s="6">
        <v>6000.0</v>
      </c>
      <c r="E13" s="6">
        <v>0.0</v>
      </c>
      <c r="F13" s="6">
        <v>0.0</v>
      </c>
      <c r="G13" s="6">
        <v>0.0</v>
      </c>
      <c r="H13" s="7">
        <f>SUMPRODUCT(B13:G13,$B$16:$G$16)</f>
        <v>275900.0</v>
      </c>
    </row>
    <row r="14">
      <c r="A14" s="3" t="inlineStr">
        <is>
          <t xml:space="preserve">Average year (changing cells)</t>
        </is>
      </c>
      <c r="B14" s="6">
        <v>225.0</v>
      </c>
      <c r="C14" s="6">
        <v>0.0</v>
      </c>
      <c r="D14" s="6">
        <v>5000.0</v>
      </c>
      <c r="E14" s="6">
        <v>0.0</v>
      </c>
      <c r="F14" s="6">
        <v>0.0</v>
      </c>
      <c r="G14" s="6">
        <v>0.0</v>
      </c>
      <c r="H14" s="7">
        <f>SUMPRODUCT(B14:G14,$B$16:$G$16)</f>
        <v>218250.0</v>
      </c>
    </row>
    <row r="15">
      <c r="A15" s="3" t="inlineStr">
        <is>
          <t xml:space="preserve">Bad year (changing cells)</t>
        </is>
      </c>
      <c r="B15" s="6">
        <v>140.0</v>
      </c>
      <c r="C15" s="6">
        <v>0.0</v>
      </c>
      <c r="D15" s="6">
        <v>4000.0</v>
      </c>
      <c r="E15" s="6">
        <v>0.0</v>
      </c>
      <c r="F15" s="6">
        <v>0.0</v>
      </c>
      <c r="G15" s="6">
        <v>48.0</v>
      </c>
      <c r="H15" s="7">
        <f>SUMPRODUCT(B15:G15,$B$16:$G$16)</f>
        <v>157720.0</v>
      </c>
    </row>
    <row r="16">
      <c r="A16" s="3" t="inlineStr">
        <is>
          <t xml:space="preserve">Price ($/T); purchases negative</t>
        </is>
      </c>
      <c r="B16" s="4">
        <v>170</v>
      </c>
      <c r="C16" s="4">
        <v>150</v>
      </c>
      <c r="D16" s="4">
        <v>36</v>
      </c>
      <c r="E16" s="4">
        <v>10</v>
      </c>
      <c r="F16" s="4">
        <v>-238</v>
      </c>
      <c r="G16" s="4">
        <v>-210</v>
      </c>
    </row>
    <row r="18">
      <c r="B18" s="2" t="inlineStr">
        <is>
          <t xml:space="preserve">Wheat for feed</t>
        </is>
      </c>
      <c r="C18" s="2" t="inlineStr">
        <is>
          <t xml:space="preserve">&gt;=</t>
        </is>
      </c>
      <c r="D18" s="2" t="inlineStr">
        <is>
          <t xml:space="preserve">Need</t>
        </is>
      </c>
      <c r="E18" s="2" t="inlineStr">
        <is>
          <t xml:space="preserve">Corn for feed</t>
        </is>
      </c>
      <c r="F18" s="2" t="inlineStr">
        <is>
          <t xml:space="preserve">&gt;=</t>
        </is>
      </c>
      <c r="G18" s="2" t="inlineStr">
        <is>
          <t xml:space="preserve">Need</t>
        </is>
      </c>
      <c r="H18" s="2" t="inlineStr">
        <is>
          <t xml:space="preserve">Beets unsold</t>
        </is>
      </c>
      <c r="I18" s="2" t="inlineStr">
        <is>
          <t xml:space="preserve">&gt;=</t>
        </is>
      </c>
      <c r="J18" s="2" t="inlineStr">
        <is>
          <t xml:space="preserve">Quota sales</t>
        </is>
      </c>
    </row>
    <row r="19">
      <c r="A19" s="3" t="inlineStr">
        <is>
          <t xml:space="preserve">Good year</t>
        </is>
      </c>
      <c r="B19" s="7">
        <f>C8*$B$5+F13-B13</f>
        <v>200.0</v>
      </c>
      <c r="C19" s="9" t="inlineStr">
        <is>
          <t xml:space="preserve">&gt;=</t>
        </is>
      </c>
      <c r="D19" s="4">
        <v>200</v>
      </c>
      <c r="E19" s="7">
        <f>D8*$C$5+G13-C13</f>
        <v>240.0</v>
      </c>
      <c r="F19" s="9" t="inlineStr">
        <is>
          <t xml:space="preserve">&gt;=</t>
        </is>
      </c>
      <c r="G19" s="4">
        <v>240</v>
      </c>
      <c r="H19" s="7">
        <f>E8*$D$5-D13-E13</f>
        <v>0.0</v>
      </c>
      <c r="I19" s="9" t="inlineStr">
        <is>
          <t xml:space="preserve">&gt;= 0</t>
        </is>
      </c>
      <c r="J19" s="7">
        <f>D13</f>
        <v>6000.0</v>
      </c>
      <c r="K19" s="9" t="inlineStr">
        <is>
          <t xml:space="preserve">&lt;=</t>
        </is>
      </c>
      <c r="L19" s="4">
        <v>6000</v>
      </c>
    </row>
    <row r="20">
      <c r="A20" s="3" t="inlineStr">
        <is>
          <t xml:space="preserve">Average year</t>
        </is>
      </c>
      <c r="B20" s="7">
        <f>C9*$B$5+F14-B14</f>
        <v>200.0</v>
      </c>
      <c r="C20" s="9" t="inlineStr">
        <is>
          <t xml:space="preserve">&gt;=</t>
        </is>
      </c>
      <c r="D20" s="4">
        <v>200</v>
      </c>
      <c r="E20" s="7">
        <f>D9*$C$5+G14-C14</f>
        <v>240.0</v>
      </c>
      <c r="F20" s="9" t="inlineStr">
        <is>
          <t xml:space="preserve">&gt;=</t>
        </is>
      </c>
      <c r="G20" s="4">
        <v>240</v>
      </c>
      <c r="H20" s="7">
        <f>E9*$D$5-D14-E14</f>
        <v>0.0</v>
      </c>
      <c r="I20" s="9" t="inlineStr">
        <is>
          <t xml:space="preserve">&gt;= 0</t>
        </is>
      </c>
      <c r="J20" s="7">
        <f>D14</f>
        <v>5000.0</v>
      </c>
      <c r="K20" s="9" t="inlineStr">
        <is>
          <t xml:space="preserve">&lt;=</t>
        </is>
      </c>
      <c r="L20" s="4">
        <v>6000</v>
      </c>
    </row>
    <row r="21">
      <c r="A21" s="3" t="inlineStr">
        <is>
          <t xml:space="preserve">Bad year</t>
        </is>
      </c>
      <c r="B21" s="7">
        <f>C10*$B$5+F15-B15</f>
        <v>200.0</v>
      </c>
      <c r="C21" s="9" t="inlineStr">
        <is>
          <t xml:space="preserve">&gt;=</t>
        </is>
      </c>
      <c r="D21" s="4">
        <v>200</v>
      </c>
      <c r="E21" s="7">
        <f>D10*$C$5+G15-C15</f>
        <v>240.0</v>
      </c>
      <c r="F21" s="9" t="inlineStr">
        <is>
          <t xml:space="preserve">&gt;=</t>
        </is>
      </c>
      <c r="G21" s="4">
        <v>240</v>
      </c>
      <c r="H21" s="7">
        <f>E10*$D$5-D15-E15</f>
        <v>0.0</v>
      </c>
      <c r="I21" s="9" t="inlineStr">
        <is>
          <t xml:space="preserve">&gt;= 0</t>
        </is>
      </c>
      <c r="J21" s="7">
        <f>D15</f>
        <v>4000.0</v>
      </c>
      <c r="K21" s="9" t="inlineStr">
        <is>
          <t xml:space="preserve">&lt;=</t>
        </is>
      </c>
      <c r="L21" s="4">
        <v>6000</v>
      </c>
    </row>
    <row r="23">
      <c r="A23" s="3" t="inlineStr">
        <is>
          <t xml:space="preserve">Expected profit ($)</t>
        </is>
      </c>
      <c r="B23" s="8">
        <f>SUMPRODUCT(B8:B10,H13:H15)-SUMPRODUCT(B4:D4,B5:D5)</f>
        <v>108390.0</v>
      </c>
    </row>
    <row r="25">
      <c r="A25" s="10" t="inlineStr">
        <is>
          <t xml:space="preserve">Legend: blue = data cells (edit to change the instance); yellow = changing cells (Solver decides); orange = objective cell.</t>
        </is>
      </c>
    </row>
    <row r="26">
      <c r="A26" s="10" t="inlineStr">
        <is>
          <t xml:space="preserve">Acres carry no scenario index: they are planted before the weather is known. Sales and purchases are per scenario.</t>
        </is>
      </c>
    </row>
    <row r="27">
      <c r="A27" s="10" t="inlineStr">
        <is>
          <t xml:space="preserve">Opens at the verified optimum (gurobipy): 170 wheat, 80 corn, 250 beets; expected profit $108,390.</t>
        </is>
      </c>
    </row>
    <row r="28">
      <c r="A28" s="10" t="inlineStr">
        <is>
          <t xml:space="preserve">Type 120, 80, 300 in B5:D5, remove B5:D5 from the changing cells and re-solve: the mean plan earns $107,240.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Farmer's problem with recourse</dc:title>
  <dc:creator>Sebastian Souyris</dc:creator>
</cp:coreProperties>
</file>